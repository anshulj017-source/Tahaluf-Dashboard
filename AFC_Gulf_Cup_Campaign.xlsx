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val Form" sheetId="1" r:id="rId4"/>
    <sheet state="visible" name="Phase 1 - Aug - Sept (Launch)" sheetId="2" r:id="rId5"/>
    <sheet state="visible" name="Phase 2 - Sep - Oct" sheetId="3" r:id="rId6"/>
    <sheet state="visible" name="Song and Mascot Promotion" sheetId="4" r:id="rId7"/>
    <sheet state="visible" name="FOC - Activations" sheetId="5" r:id="rId8"/>
    <sheet state="visible" name="Targeting" sheetId="6" r:id="rId9"/>
    <sheet state="visible" name="Campaign Phasing" sheetId="7" r:id="rId10"/>
    <sheet state="visible" name="Budgeting - Phase" sheetId="8" r:id="rId11"/>
    <sheet state="visible" name="Budgeting - Channel" sheetId="9" r:id="rId12"/>
    <sheet state="hidden" name="Sheet9" sheetId="10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________tv1">#REF!,#REF!,#REF!,#REF!</definedName>
    <definedName name="________tv1">#REF!,#REF!,#REF!,#REF!</definedName>
    <definedName name="_______PUB1">[1]profili!#REF!</definedName>
    <definedName name="_______RAI1">[1]profili!#REF!</definedName>
    <definedName name="_______TOT1">[1]profili!#REF!</definedName>
    <definedName name="______PUB1">[1]profili!#REF!</definedName>
    <definedName name="______RAI1">[1]profili!#REF!</definedName>
    <definedName name="______TOT1">[1]profili!#REF!</definedName>
    <definedName name="______tv1">#REF!,#REF!,#REF!,#REF!</definedName>
    <definedName name="_____PUB1">[1]profili!#REF!</definedName>
    <definedName name="_____RAI1">[1]profili!#REF!</definedName>
    <definedName name="_____TOT1">[1]profili!#REF!</definedName>
    <definedName name="_____tv1">#REF!,#REF!,#REF!,#REF!</definedName>
    <definedName name="____PUB1">[1]profili!#REF!</definedName>
    <definedName name="____RAI1">[1]profili!#REF!</definedName>
    <definedName name="____TOT1">[1]profili!#REF!</definedName>
    <definedName name="____tv1">#REF!,#REF!,#REF!,#REF!</definedName>
    <definedName localSheetId="0" name="___DE2">{"'vert'!$A$1:$T$117"}</definedName>
    <definedName name="___DE2">{"'vert'!$A$1:$T$117"}</definedName>
    <definedName name="___PUB1">[1]profili!#REF!</definedName>
    <definedName name="___RAI1">[1]profili!#REF!</definedName>
    <definedName name="___TOT1">[1]profili!#REF!</definedName>
    <definedName name="___tv1">#REF!,#REF!,#REF!,#REF!</definedName>
    <definedName localSheetId="0" name="__bla2">{"'vert'!$A$1:$T$117"}</definedName>
    <definedName name="__bla2">{"'vert'!$A$1:$T$117"}</definedName>
    <definedName localSheetId="0" name="__bla3">{"'vert'!$A$1:$T$117"}</definedName>
    <definedName name="__bla3">{"'vert'!$A$1:$T$117"}</definedName>
    <definedName localSheetId="0" name="__DE2">{"'vert'!$A$1:$T$117"}</definedName>
    <definedName name="__DE2">{"'vert'!$A$1:$T$117"}</definedName>
    <definedName name="__PUB1">[1]profili!#REF!</definedName>
    <definedName name="__RAI1">[1]profili!#REF!</definedName>
    <definedName name="__TOT1">[1]profili!#REF!</definedName>
    <definedName name="__TP1">'[2]MDL-1'!#REF!</definedName>
    <definedName name="__TP2">'[2]MDL-1'!#REF!</definedName>
    <definedName name="__TP3">'[2]MDL-1'!#REF!</definedName>
    <definedName name="__TP4">'[2]MDL-1'!#REF!</definedName>
    <definedName name="__tv1">#REF!,#REF!,#REF!,#REF!</definedName>
    <definedName localSheetId="0" name="_bdm.06B8576461724687B15495CCF2DD06E0.edm">'[3]MP Graphs'!$A:$IV</definedName>
    <definedName name="_bdm.06B8576461724687B15495CCF2DD06E0.edm">'[4]MP Graphs'!$A:$IV</definedName>
    <definedName localSheetId="0" name="_bdm.06CC246E7DBC44F3891086B0B75ECF39.edm">[3]WC!$A:$IV</definedName>
    <definedName name="_bdm.06CC246E7DBC44F3891086B0B75ECF39.edm">[4]WC!$A:$IV</definedName>
    <definedName localSheetId="0" name="_bdm.085CB1B4AFBC42FDB42A5D410DA22E65.edm">'[3]MP Graphs'!$A:$IV</definedName>
    <definedName name="_bdm.085CB1B4AFBC42FDB42A5D410DA22E65.edm">'[4]MP Graphs'!$A:$IV</definedName>
    <definedName localSheetId="0" name="_bdm.0AA3D3092EDA456BB97F68C1B69FBC0E.edm">'[3]MP Graphs'!$A:$IV</definedName>
    <definedName name="_bdm.0AA3D3092EDA456BB97F68C1B69FBC0E.edm">'[4]MP Graphs'!$A:$IV</definedName>
    <definedName localSheetId="0" name="_bdm.0D137C94AC1C4DB4AEA072BD9676C77E.edm">'[3]MP Graphs'!$A:$IV</definedName>
    <definedName name="_bdm.0D137C94AC1C4DB4AEA072BD9676C77E.edm">'[4]MP Graphs'!$A:$IV</definedName>
    <definedName localSheetId="0" name="_bdm.0F23163E1CA64A2FBCBA9851AE098750.edm">'[5]Graph by Product Type'!$A:$IV</definedName>
    <definedName name="_bdm.0F23163E1CA64A2FBCBA9851AE098750.edm">'[6]Graph by Product Type'!$A:$IV</definedName>
    <definedName localSheetId="0" name="_bdm.18D0F9FB523E4927A980C655ECF3F2B1.edm">'[3]MP Graphs'!$A:$IV</definedName>
    <definedName name="_bdm.18D0F9FB523E4927A980C655ECF3F2B1.edm">'[4]MP Graphs'!$A:$IV</definedName>
    <definedName localSheetId="0" name="_bdm.1F8BDD7AC78B4114B81FEF6970DA0ED6.edm">'[3]MP Graphs'!$A:$IV</definedName>
    <definedName name="_bdm.1F8BDD7AC78B4114B81FEF6970DA0ED6.edm">'[4]MP Graphs'!$A:$IV</definedName>
    <definedName localSheetId="0" name="_bdm.26049B46ED9A4A328BE14263914D3C5A.edm">'[3]MP Graphs'!$A:$IV</definedName>
    <definedName name="_bdm.26049B46ED9A4A328BE14263914D3C5A.edm">'[4]MP Graphs'!$A:$IV</definedName>
    <definedName localSheetId="0" name="_bdm.2A503CEAE4CE48ACB7D5A43D2AD392FD.edm">'[7]MP Graphs'!$A:$IV</definedName>
    <definedName name="_bdm.2A503CEAE4CE48ACB7D5A43D2AD392FD.edm">'[8]MP Graphs'!$A:$IV</definedName>
    <definedName localSheetId="0" name="_bdm.2E540CED84464485B2A6ED57DA28374B.edm">'[7]MP Graphs'!$A:$IV</definedName>
    <definedName name="_bdm.2E540CED84464485B2A6ED57DA28374B.edm">'[8]MP Graphs'!$A:$IV</definedName>
    <definedName localSheetId="0" name="_bdm.2E93E12EA5C047BC9FAD15B9E28B275A.edm">'[7]MP Graphs'!$A:$IV</definedName>
    <definedName name="_bdm.2E93E12EA5C047BC9FAD15B9E28B275A.edm">'[8]MP Graphs'!$A:$IV</definedName>
    <definedName localSheetId="0" name="_bdm.330F5F2A9C27481F946217E4119BE76C.edm">'[9]Retail-Whole'!$A:$IV</definedName>
    <definedName name="_bdm.330F5F2A9C27481F946217E4119BE76C.edm">'[10]Retail-Whole'!$A:$IV</definedName>
    <definedName localSheetId="0" name="_bdm.387EBA828FBB4D38BB1A586CD0AFF465.edm">'[7]MP Graphs'!$A:$IV</definedName>
    <definedName name="_bdm.387EBA828FBB4D38BB1A586CD0AFF465.edm">'[8]MP Graphs'!$A:$IV</definedName>
    <definedName localSheetId="0" name="_bdm.3EA02F8F86504F409582E998C5158FB7.edm">'[7]MP Graphs'!$A:$IV</definedName>
    <definedName name="_bdm.3EA02F8F86504F409582E998C5158FB7.edm">'[8]MP Graphs'!$A:$IV</definedName>
    <definedName localSheetId="0" name="_bdm.41DE43AE4D1241AEB1CDB2DC94A69957.edm">'[7]MP Graphs'!$A:$IV</definedName>
    <definedName name="_bdm.41DE43AE4D1241AEB1CDB2DC94A69957.edm">'[8]MP Graphs'!$A:$IV</definedName>
    <definedName localSheetId="0" name="_bdm.45C3047DA2C641DC8FA84094CFDE6B34.edm">'[7]MP Graphs'!$A:$IV</definedName>
    <definedName name="_bdm.45C3047DA2C641DC8FA84094CFDE6B34.edm">'[8]MP Graphs'!$A:$IV</definedName>
    <definedName localSheetId="0" name="_bdm.46C2D004A268465D9DD726589B46A0E2.edm">'[11]SGA Graph'!$A:$IV</definedName>
    <definedName name="_bdm.46C2D004A268465D9DD726589B46A0E2.edm">'[12]SGA Graph'!$A:$IV</definedName>
    <definedName localSheetId="0" name="_bdm.47750F1F5CA041F3BE39C3C1C7B4852D.edm">'[7]MP Graphs'!$A:$IV</definedName>
    <definedName name="_bdm.47750F1F5CA041F3BE39C3C1C7B4852D.edm">'[8]MP Graphs'!$A:$IV</definedName>
    <definedName localSheetId="0" name="_bdm.4DE98D6094BE4903AA4834D7DBE2FA22.edm">'[11]Income Summary'!$A:$IV</definedName>
    <definedName name="_bdm.4DE98D6094BE4903AA4834D7DBE2FA22.edm">'[12]Income Summary'!$A:$IV</definedName>
    <definedName localSheetId="0" name="_bdm.54FADB277CB54BC083ABB633900B7C21.edm">'[11]SGA Graph'!$A:$IV</definedName>
    <definedName name="_bdm.54FADB277CB54BC083ABB633900B7C21.edm">'[12]SGA Graph'!$A:$IV</definedName>
    <definedName localSheetId="0" name="_bdm.5A9D63B10A8648A7BDBACBEA2C30EB26.edm">'[7]MP Graphs'!$A:$IV</definedName>
    <definedName name="_bdm.5A9D63B10A8648A7BDBACBEA2C30EB26.edm">'[8]MP Graphs'!$A:$IV</definedName>
    <definedName localSheetId="0" name="_bdm.61A216573DF1472E9CC16E67C92D3D7D.edm">'[7]MP Graphs'!$A:$IV</definedName>
    <definedName name="_bdm.61A216573DF1472E9CC16E67C92D3D7D.edm">'[8]MP Graphs'!$A:$IV</definedName>
    <definedName localSheetId="0" name="_bdm.63ACC210A4464B3EAD62ABC87FBB0CDC.edm">[7]WC!$A:$IV</definedName>
    <definedName name="_bdm.63ACC210A4464B3EAD62ABC87FBB0CDC.edm">[8]WC!$A:$IV</definedName>
    <definedName localSheetId="0" name="_bdm.6737861878384BF8B58BE3ED25BCC982.edm">'[7]MP Graphs'!$A:$IV</definedName>
    <definedName name="_bdm.6737861878384BF8B58BE3ED25BCC982.edm">'[8]MP Graphs'!$A:$IV</definedName>
    <definedName localSheetId="0" name="_bdm.6C79FD22714D481E944DE75DC7E47B8C.edm">'[11]Balance Summary'!$A:$IV</definedName>
    <definedName name="_bdm.6C79FD22714D481E944DE75DC7E47B8C.edm">'[12]Balance Summary'!$A:$IV</definedName>
    <definedName localSheetId="0" name="_bdm.75736F23CA7143A78F9F1605BAF107B0.edm">'[11]Graph by Product Type'!$A:$IV</definedName>
    <definedName name="_bdm.75736F23CA7143A78F9F1605BAF107B0.edm">'[12]Graph by Product Type'!$A:$IV</definedName>
    <definedName localSheetId="0" name="_bdm.7B3D2AFA0546488B946CA5BA06E27DF6.edm">'[11]SGA Graph'!$A:$IV</definedName>
    <definedName name="_bdm.7B3D2AFA0546488B946CA5BA06E27DF6.edm">'[12]SGA Graph'!$A:$IV</definedName>
    <definedName localSheetId="0" name="_bdm.7EA605D2CED04F7F9D252C57B15F04A2.edm">[11]SGA!$A:$IV</definedName>
    <definedName name="_bdm.7EA605D2CED04F7F9D252C57B15F04A2.edm">[12]SGA!$A:$IV</definedName>
    <definedName localSheetId="0" name="_bdm.865BF0CA327A483B85FE91618D38C2B6.edm">'[11]SGA Graph'!$A:$IV</definedName>
    <definedName name="_bdm.865BF0CA327A483B85FE91618D38C2B6.edm">'[12]SGA Graph'!$A:$IV</definedName>
    <definedName localSheetId="0" name="_bdm.94951F903F7644F8B672C407423F45C3.edm">'[9]Retail-Whole'!$A:$IV</definedName>
    <definedName name="_bdm.94951F903F7644F8B672C407423F45C3.edm">'[10]Retail-Whole'!$A:$IV</definedName>
    <definedName localSheetId="0" name="_bdm.9D8E3E48361640E89639F1713A7F722C.edm">'[7]MP Graphs'!$A:$IV</definedName>
    <definedName name="_bdm.9D8E3E48361640E89639F1713A7F722C.edm">'[8]MP Graphs'!$A:$IV</definedName>
    <definedName localSheetId="0" name="_bdm.A2B32CFB82054C34A56DB54988F166AC.edm">'[13]Performance Graphs'!$A:$IV</definedName>
    <definedName name="_bdm.A2B32CFB82054C34A56DB54988F166AC.edm">'[14]Performance Graphs'!$A:$IV</definedName>
    <definedName localSheetId="0" name="_bdm.A37BDD0F47BD4109A13217F5C2BC564F.edm">'[7]MP Graphs'!$A:$IV</definedName>
    <definedName name="_bdm.A37BDD0F47BD4109A13217F5C2BC564F.edm">'[8]MP Graphs'!$A:$IV</definedName>
    <definedName localSheetId="0" name="_bdm.A3928C962390431AB36F75CC8C04FC3B.edm">'[7]MP Graphs'!$A:$IV</definedName>
    <definedName name="_bdm.A3928C962390431AB36F75CC8C04FC3B.edm">'[8]MP Graphs'!$A:$IV</definedName>
    <definedName localSheetId="0" name="_bdm.A85C7BC7858C4873A3FA45B76AECE04D.edm">'[7]MP Graphs'!$A:$IV</definedName>
    <definedName name="_bdm.A85C7BC7858C4873A3FA45B76AECE04D.edm">'[8]MP Graphs'!$A:$IV</definedName>
    <definedName localSheetId="0" name="_bdm.B4711CCC965545FE8E853A03BCCE12F4.edm">'[11]Graph by Product Type'!$A:$IV</definedName>
    <definedName name="_bdm.B4711CCC965545FE8E853A03BCCE12F4.edm">'[12]Graph by Product Type'!$A:$IV</definedName>
    <definedName localSheetId="0" name="_bdm.B6F5284BC6884497B4BE22FB3D0A075E.edm">'[7]MP Graphs'!$A:$IV</definedName>
    <definedName name="_bdm.B6F5284BC6884497B4BE22FB3D0A075E.edm">'[8]MP Graphs'!$A:$IV</definedName>
    <definedName localSheetId="0" name="_bdm.BC35C1D18FF2461ABD34F16AA1679800.edm">'[7]MP Graphs'!$A:$IV</definedName>
    <definedName name="_bdm.BC35C1D18FF2461ABD34F16AA1679800.edm">'[8]MP Graphs'!$A:$IV</definedName>
    <definedName localSheetId="0" name="_bdm.C26CE3BA777F4407AE945C56485D6E48.edm">'[7]MP Graphs'!$A:$IV</definedName>
    <definedName name="_bdm.C26CE3BA777F4407AE945C56485D6E48.edm">'[8]MP Graphs'!$A:$IV</definedName>
    <definedName localSheetId="0" name="_bdm.CC82658C07CC4AA88D24859820F58230.edm">'[7]MP Graphs'!$A:$IV</definedName>
    <definedName name="_bdm.CC82658C07CC4AA88D24859820F58230.edm">'[8]MP Graphs'!$A:$IV</definedName>
    <definedName localSheetId="0" name="_bdm.D61AC468F0FD4E469F534F2C627C20C9.edm">'[7]MP Graphs'!$A:$IV</definedName>
    <definedName name="_bdm.D61AC468F0FD4E469F534F2C627C20C9.edm">'[8]MP Graphs'!$A:$IV</definedName>
    <definedName localSheetId="0" name="_bdm.DA8A8DEBF36349C69E8EB7A19825156F.edm">'[9]Retail-Whole'!$A:$IV</definedName>
    <definedName name="_bdm.DA8A8DEBF36349C69E8EB7A19825156F.edm">'[10]Retail-Whole'!$A:$IV</definedName>
    <definedName localSheetId="0" name="_bdm.E81453F6097244548DE50DFD618D8C72.edm">'[7]MP Graphs'!$A:$IV</definedName>
    <definedName name="_bdm.E81453F6097244548DE50DFD618D8C72.edm">'[8]MP Graphs'!$A:$IV</definedName>
    <definedName localSheetId="0" name="_bdm.EEE0DBFA263D466BA9069ECF938C1E63.edm">[7]WC!$A:$IV</definedName>
    <definedName name="_bdm.EEE0DBFA263D466BA9069ECF938C1E63.edm">[8]WC!$A:$IV</definedName>
    <definedName localSheetId="0" name="_bdm.F1339A5660594FA5B585AC6FFA8FE31B.edm">'[7]MP Graphs'!$A:$IV</definedName>
    <definedName name="_bdm.F1339A5660594FA5B585AC6FFA8FE31B.edm">'[8]MP Graphs'!$A:$IV</definedName>
    <definedName localSheetId="0" name="_bdm.F5478B115F07489DB7F8DC2054CA9CA3.edm">'[7]MP Graphs'!$A:$IV</definedName>
    <definedName name="_bdm.F5478B115F07489DB7F8DC2054CA9CA3.edm">'[8]MP Graphs'!$A:$IV</definedName>
    <definedName localSheetId="0" name="_bla2">{"'vert'!$A$1:$T$117"}</definedName>
    <definedName name="_bla2">{"'vert'!$A$1:$T$117"}</definedName>
    <definedName localSheetId="0" name="_bla3">{"'vert'!$A$1:$T$117"}</definedName>
    <definedName name="_bla3">{"'vert'!$A$1:$T$117"}</definedName>
    <definedName localSheetId="0" name="_DE2">{"'vert'!$A$1:$T$117"}</definedName>
    <definedName name="_DE2">{"'vert'!$A$1:$T$117"}</definedName>
    <definedName name="_Order1">255</definedName>
    <definedName name="_Order2">255</definedName>
    <definedName name="_PUB1">[1]profili!#REF!</definedName>
    <definedName name="_RAI1">[1]profili!#REF!</definedName>
    <definedName name="_TOT1">[1]profili!#REF!</definedName>
    <definedName name="_TP1">'[2]MDL-1'!#REF!</definedName>
    <definedName name="_TP2">'[2]MDL-1'!#REF!</definedName>
    <definedName name="_TP3">'[2]MDL-1'!#REF!</definedName>
    <definedName name="_TP4">'[2]MDL-1'!#REF!</definedName>
    <definedName name="_tv1">#REF!,#REF!,#REF!,#REF!</definedName>
    <definedName name="AAA_DOCTOPS">"AAA_SET"</definedName>
    <definedName name="AAA_duser">"OFF"</definedName>
    <definedName localSheetId="0" name="aaaa">{"'vert'!$A$1:$T$117"}</definedName>
    <definedName name="aaaa">{"'vert'!$A$1:$T$117"}</definedName>
    <definedName name="AAB_Addin5">"AAB_Description for addin 5,Description for addin 5,Description for addin 5,Description for addin 5,Description for addin 5,Description for addin 5"</definedName>
    <definedName name="AccessDatabase">"H:\Comps Table\Comp Sheet V4.1 (25th May 2000).mdb"</definedName>
    <definedName name="ad">'[15]cic 22-9 - 26-10'!$D$11</definedName>
    <definedName name="Ad_Type">'[16]Drop Down List'!$D$2:$D$11</definedName>
    <definedName localSheetId="0" name="adfasf">{"'vert'!$A$1:$T$117"}</definedName>
    <definedName name="adfasf">{"'vert'!$A$1:$T$117"}</definedName>
    <definedName localSheetId="0" name="adfasfasfd">{"'vert'!$A$1:$T$117"}</definedName>
    <definedName name="adfasfasfd">{"'vert'!$A$1:$T$117"}</definedName>
    <definedName localSheetId="0" name="adfsafasdf">{"'weekly data'!$A$2:$AS$36"}</definedName>
    <definedName name="adfsafasdf">{"'weekly data'!$A$2:$AS$36"}</definedName>
    <definedName localSheetId="0" name="ajalfdj">{"'vert'!$A$1:$T$117"}</definedName>
    <definedName name="ajalfdj">{"'vert'!$A$1:$T$117"}</definedName>
    <definedName localSheetId="0" name="ajalfdj2">{"'vert'!$A$1:$T$117"}</definedName>
    <definedName name="ajalfdj2">{"'vert'!$A$1:$T$117"}</definedName>
    <definedName localSheetId="0" name="ajalfdj9">{"'vert'!$A$1:$T$117"}</definedName>
    <definedName name="ajalfdj9">{"'vert'!$A$1:$T$117"}</definedName>
    <definedName name="all">#REF!,#REF!,#REF!,#REF!,#REF!,#REF!,#REF!,#REF!</definedName>
    <definedName name="anscount">1</definedName>
    <definedName localSheetId="0" name="Appendix">{"'vert'!$A$1:$T$117"}</definedName>
    <definedName name="Appendix">{"'vert'!$A$1:$T$117"}</definedName>
    <definedName localSheetId="0" name="asa">{"'vert'!$A$1:$T$117"}</definedName>
    <definedName name="asa">{"'vert'!$A$1:$T$117"}</definedName>
    <definedName localSheetId="0" name="asfadfasdfsadfsadfsafsdfsdf">{"'vert'!$A$1:$T$117"}</definedName>
    <definedName name="asfadfasdfsadfsadfsafsdfsdf">{"'vert'!$A$1:$T$117"}</definedName>
    <definedName localSheetId="0" name="asfasfasfasfasdf">{"'weekly data'!$A$2:$AS$36"}</definedName>
    <definedName name="asfasfasfasfasdf">{"'weekly data'!$A$2:$AS$36"}</definedName>
    <definedName localSheetId="0" name="asfasfasfsafdsafsaf">{"'vert'!$A$1:$T$117"}</definedName>
    <definedName name="asfasfasfsafdsafsaf">{"'vert'!$A$1:$T$117"}</definedName>
    <definedName localSheetId="0" name="asfasfdasfasdfasdfasf">{"'weekly data'!$A$2:$AS$36"}</definedName>
    <definedName name="asfasfdasfasdfasdfasf">{"'weekly data'!$A$2:$AS$36"}</definedName>
    <definedName localSheetId="0" name="asfasfdasfdsafasf">{"'weekly data'!$A$2:$AS$36"}</definedName>
    <definedName name="asfasfdasfdsafasf">{"'weekly data'!$A$2:$AS$36"}</definedName>
    <definedName localSheetId="0" name="bla">{"'vert'!$A$1:$T$117"}</definedName>
    <definedName name="bla">{"'vert'!$A$1:$T$117"}</definedName>
    <definedName localSheetId="0" name="blah">{"'vert'!$A$1:$T$117"}</definedName>
    <definedName name="blah">{"'vert'!$A$1:$T$117"}</definedName>
    <definedName localSheetId="0" name="booket">[17]OpslagsArk!$I$6:$J$9</definedName>
    <definedName name="booket">[18]OpslagsArk!$I$6:$J$9</definedName>
    <definedName localSheetId="0" name="BussinessUnits">[19]APPROVAL!#REF!</definedName>
    <definedName name="BussinessUnits">[20]APPROVAL!#REF!</definedName>
    <definedName name="Calender">#REF!,#REF!,#REF!,#REF!</definedName>
    <definedName name="canale5">#REF!,#REF!,#REF!,#REF!,#REF!,#REF!,#REF!,#REF!,#REF!,#REF!</definedName>
    <definedName localSheetId="0" name="Categories">'[21]Navision tags lookups'!$A$1:$A$10</definedName>
    <definedName name="Categories">'[22]Navision tags lookups'!$A$1:$A$10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localSheetId="0" name="coop2">{"'vert'!$A$1:$T$117"}</definedName>
    <definedName name="coop2">{"'vert'!$A$1:$T$117"}</definedName>
    <definedName localSheetId="0" name="CORP">[19]APPROVAL!#REF!</definedName>
    <definedName name="CORP">[20]APPROVAL!#REF!</definedName>
    <definedName localSheetId="0" name="DE_final">{"'vert'!$A$1:$T$117"}</definedName>
    <definedName name="DE_final">{"'vert'!$A$1:$T$117"}</definedName>
    <definedName localSheetId="0" name="dff">{0}</definedName>
    <definedName name="dff">{0}</definedName>
    <definedName localSheetId="0" name="DocumentYear">[23]P3!#REF!</definedName>
    <definedName name="DocumentYear">[24]P3!#REF!</definedName>
    <definedName localSheetId="0" name="DocumentYear1">[23]P3!#REF!</definedName>
    <definedName name="DocumentYear1">[24]P3!#REF!</definedName>
    <definedName localSheetId="0" name="documentyear2">[23]P3!#REF!</definedName>
    <definedName name="documentyear2">[24]P3!#REF!</definedName>
    <definedName localSheetId="0" name="dsdsf">[23]P3!#REF!</definedName>
    <definedName name="dsdsf">[24]P3!#REF!</definedName>
    <definedName localSheetId="0" name="e">[23]P3!#REF!</definedName>
    <definedName name="e">[24]P3!#REF!</definedName>
    <definedName localSheetId="0" name="ee">[23]P3!#REF!</definedName>
    <definedName name="ee">[24]P3!#REF!</definedName>
    <definedName name="eer">'[2]MDL-1'!#REF!</definedName>
    <definedName localSheetId="0" name="efsdfsdf">[23]P3!#REF!</definedName>
    <definedName name="efsdfsdf">[24]P3!#REF!</definedName>
    <definedName localSheetId="0" name="er3r3">{"'vert'!$A$1:$T$117"}</definedName>
    <definedName name="er3r3">{"'vert'!$A$1:$T$117"}</definedName>
    <definedName localSheetId="0" name="ewfsdfsdfs">[23]P3!#REF!</definedName>
    <definedName name="ewfsdfsdfs">[24]P3!#REF!</definedName>
    <definedName name="FASCIA1">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localSheetId="0" name="fdfe">{"'vert'!$A$1:$T$117"}</definedName>
    <definedName name="fdfe">{"'vert'!$A$1:$T$117"}</definedName>
    <definedName localSheetId="0" name="fdsfsdf">[23]P3!#REF!</definedName>
    <definedName name="fdsfsdf">[24]P3!#REF!</definedName>
    <definedName name="fgjk">[25]SAD!$A$1:$U$31</definedName>
    <definedName localSheetId="0" name="flag2">'[26]Y! Media Plan Jan 1 - May 2016'!#REF!</definedName>
    <definedName name="flag2">'[27]Y! Media Plan Jan 1 - May 2016'!#REF!</definedName>
    <definedName localSheetId="0" name="Flags">'[28]Y! Media Plan'!#REF!</definedName>
    <definedName name="Flags">'[29]Y! Media Plan'!#REF!</definedName>
    <definedName localSheetId="0" name="foobar">{"'vert'!$A$1:$T$117"}</definedName>
    <definedName name="foobar">{"'vert'!$A$1:$T$117"}</definedName>
    <definedName localSheetId="0" name="foobar2">{"'weekly data'!$A$2:$AS$36"}</definedName>
    <definedName name="foobar2">{"'weekly data'!$A$2:$AS$36"}</definedName>
    <definedName localSheetId="0" name="foobar3">{"'weekly data'!$A$2:$AS$36"}</definedName>
    <definedName name="foobar3">{"'weekly data'!$A$2:$AS$36"}</definedName>
    <definedName localSheetId="0" name="foobar4">{"'vert'!$A$1:$T$117"}</definedName>
    <definedName name="foobar4">{"'vert'!$A$1:$T$117"}</definedName>
    <definedName name="Geo_Target">'[30]Drop Down List'!$C$2:$C$11</definedName>
    <definedName name="hg">#REF!,#REF!,#REF!,#REF!</definedName>
    <definedName name="HTML_CodePage">1252</definedName>
    <definedName localSheetId="0" name="HTML_Cont">{"'vert'!$A$1:$T$117"}</definedName>
    <definedName name="HTML_Cont">{"'vert'!$A$1:$T$117"}</definedName>
    <definedName localSheetId="0" name="HTML_Cont2">{"'vert'!$A$1:$T$117"}</definedName>
    <definedName name="HTML_Cont2">{"'vert'!$A$1:$T$117"}</definedName>
    <definedName localSheetId="0" name="HTML_Control">{"'vert'!$A$1:$T$117"}</definedName>
    <definedName name="HTML_Control">{"'vert'!$A$1:$T$117"}</definedName>
    <definedName localSheetId="0" name="HTML_Control_2">{"'vert'!$A$1:$T$117"}</definedName>
    <definedName name="HTML_Control_2">{"'vert'!$A$1:$T$117"}</definedName>
    <definedName localSheetId="0" name="HTML_Control1">{"'vert'!$A$1:$T$117"}</definedName>
    <definedName name="HTML_Control1">{"'vert'!$A$1:$T$117"}</definedName>
    <definedName localSheetId="0" name="HTML_Control2">{"'vert'!$A$1:$T$117"}</definedName>
    <definedName name="HTML_Control2">{"'vert'!$A$1:$T$117"}</definedName>
    <definedName name="HTML_Description">""</definedName>
    <definedName name="HTML_Email">""</definedName>
    <definedName name="HTML_Header">"CS holiday scorecard"</definedName>
    <definedName name="HTML_LastUpdate">"10/25/00"</definedName>
    <definedName name="HTML_LineAfter">FALSE</definedName>
    <definedName name="HTML_LineBefore">FALSE</definedName>
    <definedName name="HTML_Name">"emily alford"</definedName>
    <definedName name="HTML_OBDlg2">TRUE</definedName>
    <definedName name="HTML_OBDlg4">TRUE</definedName>
    <definedName name="HTML_OS">0</definedName>
    <definedName name="HTML_PathFile">"I:\dept\cs\us\manager\metrics\secure\holidayscorecard.html.htm"</definedName>
    <definedName name="HTML_Title">"CS holiday scorecard"</definedName>
    <definedName localSheetId="0" name="ignore">{"'weekly data'!$A$2:$AS$36"}</definedName>
    <definedName name="ignore">{"'weekly data'!$A$2:$AS$36"}</definedName>
    <definedName name="IQ_ACCOUNT_CHANGE">"IQ_ACCOUNT_CHANGE"</definedName>
    <definedName name="IQ_ACCOUNTS_PAY">"IQ_ACCOUNTS_PAY"</definedName>
    <definedName name="IQ_ACCRUED_EXP">"IQ_ACCRUED_EXP"</definedName>
    <definedName name="IQ_ADD_PAID_IN">"IQ_ADD_PAID_IN"</definedName>
    <definedName name="IQ_AMORTIZATION">"IQ_AMORTIZATION"</definedName>
    <definedName name="IQ_ASSET_TURNS">"IQ_ASSET_TURNS"</definedName>
    <definedName name="IQ_BASIC_EPS_EXCL">"IQ_BASIC_EPS_EXCL"</definedName>
    <definedName name="IQ_BASIC_EPS_INCL">"IQ_BASIC_EPS_INCL"</definedName>
    <definedName name="IQ_BASIC_NORMAL_EPS">"IQ_BASIC_NORMAL_EPS"</definedName>
    <definedName name="IQ_BASIC_WEIGHT">"IQ_BASIC_WEIGHT"</definedName>
    <definedName name="IQ_BONDRATING_FITCH">"IQ_BONDRATING_FITCH"</definedName>
    <definedName name="IQ_BONDRATING_SP">"IQ_BONDRATING_SP"</definedName>
    <definedName name="IQ_BOOK_VALUE">"IQ_BOOK_VALUE"</definedName>
    <definedName name="IQ_BV_OVER_SHARES">"IQ_BV_OVER_SHARES"</definedName>
    <definedName name="IQ_CAPEX">"IQ_CAPEX"</definedName>
    <definedName name="IQ_CAPITAL_LEASE">"IQ_CAPITAL_LEASE"</definedName>
    <definedName name="IQ_CASH">"IQ_CASH"</definedName>
    <definedName name="IQ_CASH_DUE_BANKS">"IQ_CASH_DUE_BANKS"</definedName>
    <definedName name="IQ_CASH_EQUIV">"IQ_CASH_EQUIV"</definedName>
    <definedName name="IQ_CASH_INTEREST">"IQ_CASH_INTEREST"</definedName>
    <definedName name="IQ_CASH_ST">"IQ_CASH_ST"</definedName>
    <definedName name="IQ_CASH_TAXES">"IQ_CASH_TAXES"</definedName>
    <definedName name="IQ_CHANGES_WORK_CAP">"IQ_CHANGES_WORK_CAP"</definedName>
    <definedName name="IQ_CITY">"IQ_CITY"</definedName>
    <definedName name="IQ_CLOSEPRICE">"IQ_CLOSEPRICE"</definedName>
    <definedName name="IQ_COMMON_STOCK">"IQ_COMMON_STOCK"</definedName>
    <definedName name="IQ_COMPANY_ADDRESS">"IQ_COMPANY_ADDRESS"</definedName>
    <definedName name="IQ_COMPANY_NAME">"IQ_COMPANY_NAME"</definedName>
    <definedName name="IQ_COMPANY_PHONE">"IQ_COMPANY_PHONE"</definedName>
    <definedName name="IQ_COMPANY_STREET1">"IQ_COMPANY_STREET1"</definedName>
    <definedName name="IQ_COMPANY_STREET2">"IQ_COMPANY_STREET2"</definedName>
    <definedName name="IQ_COMPANY_TICKER">"IQ_COMPANY_TICKER"</definedName>
    <definedName name="IQ_COMPANY_WEBSITE">"IQ_COMPANY_WEBSITE"</definedName>
    <definedName name="IQ_COMPANY_ZIP">"IQ_COMPANY_ZIP"</definedName>
    <definedName name="IQ_COST_REVENUE">"IQ_COST_REVENUE"</definedName>
    <definedName name="IQ_COUNTRY_NAME">"IQ_COUNTRY_NAME"</definedName>
    <definedName name="IQ_CURRENT_PORT">"IQ_CURRENT_PORT"</definedName>
    <definedName name="IQ_CURRENT_RATIO">"IQ_CURRENT_RATIO"</definedName>
    <definedName name="IQ_DAYS_PAY_OUTST">"IQ_DAYS_PAY_OUTST"</definedName>
    <definedName name="IQ_DAYS_SALES_OUTST">"IQ_DAYS_SALES_OUTST"</definedName>
    <definedName name="IQ_DEFERRED_INC_TAX">"IQ_DEFERRED_INC_TAX"</definedName>
    <definedName name="IQ_DEFERRED_TAXES">"IQ_DEFERRED_TAXES"</definedName>
    <definedName name="IQ_DEPRE_AMORT">"IQ_DEPRE_AMORT"</definedName>
    <definedName name="IQ_DEPRE_AMORT_SUPPL">"IQ_DEPRE_AMORT_SUPPL"</definedName>
    <definedName name="IQ_DEPRE_DEPLE">"IQ_DEPRE_DEPLE"</definedName>
    <definedName name="IQ_DEPRE_SUPP">"IQ_DEPRE_SUPP"</definedName>
    <definedName name="IQ_DESCRIPTION_LONG">"IQ_DESCRIPTION_LONG"</definedName>
    <definedName name="IQ_DILUT_ADJUST">"IQ_DILUT_ADJUST"</definedName>
    <definedName name="IQ_DILUT_EPS_EXCL">"IQ_DILUT_EPS_EXCL"</definedName>
    <definedName name="IQ_DILUT_EPS_INCL">"IQ_DILUT_EPS_INCL"</definedName>
    <definedName name="IQ_DILUT_NORMAL_EPS">"IQ_DILUT_NORMAL_EPS"</definedName>
    <definedName name="IQ_DILUT_WEIGHT">"IQ_DILUT_WEIGHT"</definedName>
    <definedName name="IQ_DISCONT_OPER">"IQ_DISCONT_OPER"</definedName>
    <definedName name="IQ_DIVID_SHARE">"IQ_DIVID_SHARE"</definedName>
    <definedName name="IQ_EBIT">"IQ_EBIT"</definedName>
    <definedName name="IQ_EBIT_10K">"IQ_EBIT_10K"</definedName>
    <definedName name="IQ_EBIT_10Q">"IQ_EBIT_10Q"</definedName>
    <definedName name="IQ_EBIT_10Q1">"IQ_EBIT_10Q1"</definedName>
    <definedName name="IQ_EBIT_GROWTH_1">"IQ_EBIT_GROWTH_1"</definedName>
    <definedName name="IQ_EBIT_GROWTH_2">"IQ_EBIT_GROWTH_2"</definedName>
    <definedName name="IQ_EBIT_MARGIN">"IQ_EBIT_MARGIN"</definedName>
    <definedName name="IQ_EBIT_OVER_IE">"IQ_EBIT_OVER_IE"</definedName>
    <definedName name="IQ_EBITDA">"IQ_EBITDA"</definedName>
    <definedName name="IQ_EBITDA_10K">"IQ_EBITDA_10K"</definedName>
    <definedName name="IQ_EBITDA_10Q">"IQ_EBITDA_10Q"</definedName>
    <definedName name="IQ_EBITDA_10Q1">"IQ_EBITDA_10Q1"</definedName>
    <definedName name="IQ_EBITDA_CAPEX_OVER_TOTAL_IE">"IQ_EBITDA_CAPEX_OVER_TOTAL_IE"</definedName>
    <definedName name="IQ_EBITDA_GROWTH_1">"IQ_EBITDA_GROWTH_1"</definedName>
    <definedName name="IQ_EBITDA_GROWTH_2">"IQ_EBITDA_GROWTH_2"</definedName>
    <definedName name="IQ_EBITDA_MARGIN">"IQ_EBITDA_MARGIN"</definedName>
    <definedName name="IQ_EBITDA_OVER_TOTAL_IE">"IQ_EBITDA_OVER_TOTAL_IE"</definedName>
    <definedName name="IQ_EFFECT_SPECIAL_CHARGE">"IQ_EFFECT_SPECIAL_CHARGE"</definedName>
    <definedName name="IQ_EMPLOYEES">"IQ_EMPLOYEES"</definedName>
    <definedName name="IQ_ENTERPRISE_VALUE">"IQ_ENTERPRISE_VALUE"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EST">"IQ_EPS_EST"</definedName>
    <definedName name="IQ_EPS_EST_1">"IQ_EPS_EST_1"</definedName>
    <definedName name="IQ_EQUITY_AFFIL">"IQ_EQUITY_AFFIL"</definedName>
    <definedName name="IQ_EQV_OVER_BV">"IQ_EQV_OVER_BV"</definedName>
    <definedName name="IQ_EQV_OVER_LTM_PRETAX_INC">"IQ_EQV_OVER_LTM_PRETAX_INC"</definedName>
    <definedName name="IQ_ESOP_DEBT">"IQ_ESOP_DEBT"</definedName>
    <definedName name="IQ_EV_OVER_EMPLOYEE">"IQ_EV_OVER_EMPLOYEE"</definedName>
    <definedName name="IQ_EV_OVER_LTM_EBIT">"IQ_EV_OVER_LTM_EBIT"</definedName>
    <definedName name="IQ_EV_OVER_LTM_EBITDA">"IQ_EV_OVER_LTM_EBITDA"</definedName>
    <definedName name="IQ_EV_OVER_LTM_REVENUE">"IQ_EV_OVER_LTM_REVENUE"</definedName>
    <definedName name="IQ_EV_OVER_REVENUE_EST">"IQ_EV_OVER_REVENUE_EST"</definedName>
    <definedName name="IQ_EV_OVER_REVENUE_EST_1">"IQ_EV_OVER_REVENUE_EST_1"</definedName>
    <definedName name="IQ_EXCHANGE">"IQ_EXCHANGE"</definedName>
    <definedName name="IQ_EXTRA_ITEMS">"IQ_EXTRA_ITEMS"</definedName>
    <definedName name="IQ_FINANCING_CASH">"IQ_FINANCING_CASH"</definedName>
    <definedName name="IQ_FOREIGN_EXCHANGE">"IQ_FOREIGN_EXCHANGE"</definedName>
    <definedName name="IQ_FWD">"LTM"</definedName>
    <definedName name="IQ_FWD1">"LTM"</definedName>
    <definedName name="IQ_FY_DATE">"IQ_FY_DATE"</definedName>
    <definedName name="IQ_GAIN_SALE_ASSETS">"IQ_GAIN_SALE_ASSETS"</definedName>
    <definedName name="IQ_GOODWILL_NET">"IQ_GOODWILL_NET"</definedName>
    <definedName name="IQ_GROSS_DIVID">"IQ_GROSS_DIVID"</definedName>
    <definedName name="IQ_GROSS_MARGIN">"IQ_GROSS_MARGIN"</definedName>
    <definedName name="IQ_GROSS_PROFIT">"IQ_GROSS_PROFIT"</definedName>
    <definedName name="IQ_HIGHPRICE">"IQ_HIGHPRICE"</definedName>
    <definedName name="IQ_INC_AFTER_TAX">"IQ_INC_AFTER_TAX"</definedName>
    <definedName name="IQ_INC_AVAIL_EXCL">"IQ_INC_AVAIL_EXCL"</definedName>
    <definedName name="IQ_INC_AVAIL_INCL">"IQ_INC_AVAIL_INCL"</definedName>
    <definedName name="IQ_INC_BEFORE_TAX">"IQ_INC_BEFORE_TAX"</definedName>
    <definedName name="IQ_INC_TAX">"IQ_INC_TAX"</definedName>
    <definedName name="IQ_INC_TAX_EXCL">"IQ_INC_TAX_EXCL"</definedName>
    <definedName name="IQ_INTANGIBLES_NET">"IQ_INTANGIBLES_NET"</definedName>
    <definedName name="IQ_INTEREST_EXP_NET">"IQ_INTEREST_EXP_NET"</definedName>
    <definedName name="IQ_INTEREST_EXP_NON">"IQ_INTEREST_EXP_NON"</definedName>
    <definedName name="IQ_INTEREST_EXP_SUPPL">"IQ_INTEREST_EXP_SUPPL"</definedName>
    <definedName name="IQ_INTEREST_INC">"IQ_INTEREST_INC"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"IQ_INTEREST_INC_NON"</definedName>
    <definedName name="IQ_INVENTORY_TURNS">"IQ_INVENTORY_TURNS"</definedName>
    <definedName name="IQ_ISS_DEBT_NET">"IQ_ISS_DEBT_NET"</definedName>
    <definedName name="IQ_ISS_STOCK_NET">"IQ_ISS_STOCK_NET"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SALEPRICE">"IQ_LASTSALEPRICE"</definedName>
    <definedName name="IQ_LATEST">"1"</definedName>
    <definedName name="IQ_LATESTK">"1000"</definedName>
    <definedName name="IQ_LATESTKFR">"50"</definedName>
    <definedName name="IQ_LATESTQ">"500"</definedName>
    <definedName name="IQ_LATESTQFR">"100"</definedName>
    <definedName name="IQ_LOAN_LOSS">"IQ_LOAN_LOSS"</definedName>
    <definedName name="IQ_LONG_TERM_DEBT">"IQ_LONG_TERM_DEBT"</definedName>
    <definedName name="IQ_LONG_TERM_DEBT_OVER_TOTAL_CAP">"IQ_LONG_TERM_DEBT_OVER_TOTAL_CAP"</definedName>
    <definedName name="IQ_LONG_TERM_GROWTH">"IQ_LONG_TERM_GROWTH"</definedName>
    <definedName name="IQ_LONG_TERM_INV">"IQ_LONG_TERM_INV"</definedName>
    <definedName name="IQ_LOWPRICE">"IQ_LOWPRICE"</definedName>
    <definedName name="IQ_LTM_DATE">"IQ_LTM_DATE"</definedName>
    <definedName name="IQ_LTM_REVENUE_OVER_EMPLOYEES">"IQ_LTM_REVENUE_OVER_EMPLOYEES"</definedName>
    <definedName name="IQ_MARKETCAP">"IQ_MARKETCAP"</definedName>
    <definedName name="IQ_MINORITY_INTEREST">"IQ_MINORITY_INTEREST"</definedName>
    <definedName name="IQ_MINORITY_INTEREST_IS">"IQ_MINORITY_INTEREST_IS"</definedName>
    <definedName name="IQ_MISC_EARN_ADJ">"IQ_MISC_EARN_ADJ"</definedName>
    <definedName name="IQ_NET_CHANGE">"IQ_NET_CHANGE"</definedName>
    <definedName name="IQ_NET_DEBT">"IQ_NET_DEBT"</definedName>
    <definedName name="IQ_NET_INC">"IQ_NET_INC"</definedName>
    <definedName name="IQ_NET_INC_10K">"IQ_NET_INC_10K"</definedName>
    <definedName name="IQ_NET_INC_10Q">"IQ_NET_INC_10Q"</definedName>
    <definedName name="IQ_NET_INC_10Q1">"IQ_NET_INC_10Q1"</definedName>
    <definedName name="IQ_NET_INC_BEFORE">"IQ_NET_INC_BEFORE"</definedName>
    <definedName name="IQ_NET_INC_GROWTH_1">"IQ_NET_INC_GROWTH_1"</definedName>
    <definedName name="IQ_NET_INC_GROWTH_2">"IQ_NET_INC_GROWTH_2"</definedName>
    <definedName name="IQ_NET_INC_MARGIN">"IQ_NET_INC_MARGIN"</definedName>
    <definedName name="IQ_NET_INTEREST_INC">"IQ_NET_INTEREST_INC"</definedName>
    <definedName name="IQ_NET_INTEREST_INC_AFTER_LL">"IQ_NET_INTEREST_INC_AFTER_LL"</definedName>
    <definedName name="IQ_NET_LOANS">"IQ_NET_LOANS"</definedName>
    <definedName name="IQ_NON_CASH">"IQ_NON_CASH"</definedName>
    <definedName name="IQ_NON_INTEREST_EXP">"IQ_NON_INTEREST_EXP"</definedName>
    <definedName name="IQ_NON_INTEREST_INC">"IQ_NON_INTEREST_INC"</definedName>
    <definedName name="IQ_NORMAL_INC_AFTER">"IQ_NORMAL_INC_AFTER"</definedName>
    <definedName name="IQ_NORMAL_INC_AVAIL">"IQ_NORMAL_INC_AVAIL"</definedName>
    <definedName name="IQ_NORMAL_INC_BEFORE">"IQ_NORMAL_INC_BEFORE"</definedName>
    <definedName name="IQ_NOTES_PAY">"IQ_NOTES_PAY"</definedName>
    <definedName name="IQ_OPENPRICE">"IQ_OPENPRICE"</definedName>
    <definedName name="IQ_OPER_INC">"IQ_OPER_INC"</definedName>
    <definedName name="IQ_OTHER_ASSETS">"IQ_OTHER_ASSETS"</definedName>
    <definedName name="IQ_OTHER_CURRENT_ASSETS">"IQ_OTHER_CURRENT_ASSETS"</definedName>
    <definedName name="IQ_OTHER_CURRENT_LIAB">"IQ_OTHER_CURRENT_LIAB"</definedName>
    <definedName name="IQ_OTHER_EARNING">"IQ_OTHER_EARNING"</definedName>
    <definedName name="IQ_OTHER_EQUITY">"IQ_OTHER_EQUITY"</definedName>
    <definedName name="IQ_OTHER_INVESTING">"IQ_OTHER_INVESTING"</definedName>
    <definedName name="IQ_OTHER_LIAB">"IQ_OTHER_LIAB"</definedName>
    <definedName name="IQ_OTHER_LONG_TERM">"IQ_OTHER_LONG_TERM"</definedName>
    <definedName name="IQ_OTHER_NET">"IQ_OTHER_NET"</definedName>
    <definedName name="IQ_OTHER_OPER">"IQ_OTHER_OPER"</definedName>
    <definedName name="IQ_OTHER_RECEIV">"IQ_OTHER_RECEIV"</definedName>
    <definedName name="IQ_OTHER_REVENUE">"IQ_OTHER_REVENUE"</definedName>
    <definedName name="IQ_PAY_ACCRUED">"IQ_PAY_ACCRUED"</definedName>
    <definedName name="IQ_PERIODDATE">"IQ_PERIODDATE"</definedName>
    <definedName name="IQ_PREF_DIVID">"IQ_PREF_DIVID"</definedName>
    <definedName name="IQ_PREF_STOCK">"IQ_PREF_STOCK"</definedName>
    <definedName name="IQ_PREPAID_EXPEN">"IQ_PREPAID_EXPEN"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ICE_OVER_EPS_EST">"IQ_PRICE_OVER_EPS_EST"</definedName>
    <definedName name="IQ_PRICE_OVER_EPS_EST_1">"IQ_PRICE_OVER_EPS_EST_1"</definedName>
    <definedName name="IQ_PRICE_OVER_LTM_EPS">"IQ_PRICE_OVER_LTM_EPS"</definedName>
    <definedName name="IQ_PRICEDATE">"IQ_PRICEDATE"</definedName>
    <definedName name="IQ_PRICEDATETIME">"IQ_PRICEDATETIME"</definedName>
    <definedName name="IQ_PRO_FORMA_BASIC_EPS">"IQ_PRO_FORMA_BASIC_EPS"</definedName>
    <definedName name="IQ_PRO_FORMA_DILUT_EPS">"IQ_PRO_FORMA_DILUT_EPS"</definedName>
    <definedName name="IQ_PRO_FORMA_NET_INC">"IQ_PRO_FORMA_NET_INC"</definedName>
    <definedName name="IQ_PROPERTY_GROSS">"IQ_PROPERTY_GROSS"</definedName>
    <definedName name="IQ_PROPERTY_NET">"IQ_PROPERTY_NET"</definedName>
    <definedName name="IQ_QUICK_RATIO">"IQ_QUICK_RATIO"</definedName>
    <definedName name="IQ_REDEEM_PREF_STOCK">"IQ_REDEEM_PREF_STOCK"</definedName>
    <definedName name="IQ_RESEARCH_DEV">"IQ_RESEARCH_DEV"</definedName>
    <definedName name="IQ_RETAINED_EARN">"IQ_RETAINED_EARN"</definedName>
    <definedName name="IQ_RETURN_ASSETS">"IQ_RETURN_ASSETS"</definedName>
    <definedName name="IQ_RETURN_EQUITY">"IQ_RETURN_EQUITY"</definedName>
    <definedName name="IQ_RETURN_INVESTMENT">"IQ_RETURN_INVESTMENT"</definedName>
    <definedName name="IQ_REVENUE">"IQ_REVENUE"</definedName>
    <definedName name="IQ_REVENUE_10K">"IQ_REVENUE_10K"</definedName>
    <definedName name="IQ_REVENUE_10Q">"IQ_REVENUE_10Q"</definedName>
    <definedName name="IQ_REVENUE_10Q1">"IQ_REVENUE_10Q1"</definedName>
    <definedName name="IQ_REVENUE_EST">"IQ_REVENUE_EST"</definedName>
    <definedName name="IQ_REVENUE_EST_1">"IQ_REVENUE_EST_1"</definedName>
    <definedName name="IQ_REVENUE_GROWTH_1">"IQ_REVENUE_GROWTH_1"</definedName>
    <definedName name="IQ_REVENUE_GROWTH_2">"IQ_REVENUE_GROWTH_2"</definedName>
    <definedName name="IQ_SGA">"IQ_SGA"</definedName>
    <definedName name="IQ_SHARESOUTSTANDING">"IQ_SHARESOUTSTANDING"</definedName>
    <definedName name="IQ_SHORT_TERM_INVEST">"IQ_SHORT_TERM_INVEST"</definedName>
    <definedName name="IQ_STATE">"IQ_STATE"</definedName>
    <definedName name="IQ_STOCK_BASED">"IQ_STOCK_BASED"</definedName>
    <definedName name="IQ_TODAY">"0"</definedName>
    <definedName name="IQ_TOTAL_ASSETS">"IQ_TOTAL_ASSETS"</definedName>
    <definedName name="IQ_TOTAL_CASH_DIVID">"IQ_TOTAL_CASH_DIVID"</definedName>
    <definedName name="IQ_TOTAL_CASH_FINAN">"IQ_TOTAL_CASH_FINAN"</definedName>
    <definedName name="IQ_TOTAL_CASH_INVEST">"IQ_TOTAL_CASH_INVEST"</definedName>
    <definedName name="IQ_TOTAL_CASH_OPER">"IQ_TOTAL_CASH_OPER"</definedName>
    <definedName name="IQ_TOTAL_COMMON">"IQ_TOTAL_COMMON"</definedName>
    <definedName name="IQ_TOTAL_CURRENT_ASSETS">"IQ_TOTAL_CURRENT_ASSETS"</definedName>
    <definedName name="IQ_TOTAL_CURRENT_LIAB">"IQ_TOTAL_CURRENT_LIAB"</definedName>
    <definedName name="IQ_TOTAL_DEBT">"IQ_TOTAL_DEBT"</definedName>
    <definedName name="IQ_TOTAL_DEBT_OVER_EBITDA">"IQ_TOTAL_DEBT_OVER_EBITDA"</definedName>
    <definedName name="IQ_TOTAL_DEBT_OVER_TOTAL_BV">"IQ_TOTAL_DEBT_OVER_TOTAL_BV"</definedName>
    <definedName name="IQ_TOTAL_DEBT_OVER_TOTAL_CAP">"IQ_TOTAL_DEBT_OVER_TOTAL_CAP"</definedName>
    <definedName name="IQ_TOTAL_EQUITY">"IQ_TOTAL_EQUITY"</definedName>
    <definedName name="IQ_TOTAL_INTEREST_EXP">"IQ_TOTAL_INTEREST_EXP"</definedName>
    <definedName name="IQ_TOTAL_INVENTORY">"IQ_TOTAL_INVENTORY"</definedName>
    <definedName name="IQ_TOTAL_LIAB">"IQ_TOTAL_LIAB"</definedName>
    <definedName name="IQ_TOTAL_LIAB_SHAREHOLD">"IQ_TOTAL_LIAB_SHAREHOLD"</definedName>
    <definedName name="IQ_TOTAL_LONG_DEBT">"IQ_TOTAL_LONG_DEBT"</definedName>
    <definedName name="IQ_TOTAL_OPER_EXPEN">"IQ_TOTAL_OPER_EXPEN"</definedName>
    <definedName name="IQ_TOTAL_RECEIV">"IQ_TOTAL_RECEIV"</definedName>
    <definedName name="IQ_TOTAL_REVENUE">"IQ_TOTAL_REVENUE"</definedName>
    <definedName name="IQ_TOTAL_SPECIAL">"IQ_TOTAL_SPECIAL"</definedName>
    <definedName name="IQ_TRADE_AR">"IQ_TRADE_AR"</definedName>
    <definedName name="IQ_TREASURY_STOCK">"IQ_TREASURY_STOCK"</definedName>
    <definedName name="IQ_UNREALIZED_GAIN">"IQ_UNREALIZED_GAIN"</definedName>
    <definedName name="IQ_UNUSUAL_EXP">"IQ_UNUSUAL_EXP"</definedName>
    <definedName name="IQ_US_GAAP">"IQ_US_GAAP"</definedName>
    <definedName name="IQ_VOLUME">"IQ_VOLUME"</definedName>
    <definedName name="IQ_YEARHIGH">"IQ_YEARHIGH"</definedName>
    <definedName name="IQ_YEARLOW">"IQ_YEARLOW"</definedName>
    <definedName name="Iraq">[31]SYRIA!$T$12:$T$44,[31]SYRIA!#REF!,[31]SYRIA!#REF!,[31]SYRIA!#REF!,[31]SYRIA!$U$57:$U$84</definedName>
    <definedName name="italia1">#REF!,#REF!,#REF!,#REF!,#REF!,#REF!,#REF!,#REF!,#REF!,#REF!,#REF!,#REF!,#REF!</definedName>
    <definedName localSheetId="0" name="j">{"'vert'!$A$1:$T$117"}</definedName>
    <definedName name="j">{"'vert'!$A$1:$T$117"}</definedName>
    <definedName localSheetId="0" name="Jordan">[23]P3!#REF!</definedName>
    <definedName name="Jordan">[24]P3!#REF!</definedName>
    <definedName localSheetId="0" name="k">{"'vert'!$A$1:$T$117"}</definedName>
    <definedName name="k">{"'vert'!$A$1:$T$117"}</definedName>
    <definedName localSheetId="0" name="kljlkjkljlk">{"'vert'!$A$1:$T$117"}</definedName>
    <definedName name="kljlkjkljlk">{"'vert'!$A$1:$T$117"}</definedName>
    <definedName name="KSA">[32]SATELLITE!$A$1:$R$125</definedName>
    <definedName name="lp">[33]SATELLITE!$A$1:$R$80</definedName>
    <definedName localSheetId="0" name="MajorHeader">[23]P3!#REF!</definedName>
    <definedName name="MajorHeader">[24]P3!#REF!</definedName>
    <definedName name="Networks">'[16]Drop Down List'!$B$2:$B$12</definedName>
    <definedName localSheetId="0" name="no">{"'vert'!$A$1:$T$117"}</definedName>
    <definedName name="no">{"'vert'!$A$1:$T$117"}</definedName>
    <definedName localSheetId="0" name="nope">{"'vert'!$A$1:$T$117"}</definedName>
    <definedName name="nope">{"'vert'!$A$1:$T$117"}</definedName>
    <definedName localSheetId="0" name="Option2">[23]P3!#REF!</definedName>
    <definedName name="Option2">[24]P3!#REF!</definedName>
    <definedName name="param_org_1">"DIGITAL"</definedName>
    <definedName name="param_org_2">"%"</definedName>
    <definedName name="param_reg_region">"%"</definedName>
    <definedName name="pglftv">[34]PG!$A$1:$U$87</definedName>
    <definedName name="rete4">#REF!,#REF!,#REF!,#REF!,#REF!,#REF!,#REF!,#REF!,#REF!,#REF!,#REF!,#REF!</definedName>
    <definedName name="Rotations">'[35]Y! Media Plan Jan 1 - May 2016'!#REF!</definedName>
    <definedName name="rrrr">[25]CCS!$A$1:$R$77</definedName>
    <definedName name="rtyrty">[34]CCS!$A$1:$R$77</definedName>
    <definedName name="satv">[34]SAD!$A$1:$U$31</definedName>
    <definedName localSheetId="0" name="Scale">'[28]Y! Media Plan'!#REF!</definedName>
    <definedName name="Scale">'[29]Y! Media Plan'!#REF!</definedName>
    <definedName localSheetId="0" name="sdfsd">{"'vert'!$A$1:$T$117"}</definedName>
    <definedName name="sdfsd">{"'vert'!$A$1:$T$117"}</definedName>
    <definedName localSheetId="0" name="sdss">[19]APPROVAL!#REF!</definedName>
    <definedName name="sdss">[20]APPROVAL!#REF!</definedName>
    <definedName name="sencount">1</definedName>
    <definedName localSheetId="0" name="Sourcing3">{"'vert'!$A$1:$T$117"}</definedName>
    <definedName name="Sourcing3">{"'vert'!$A$1:$T$117"}</definedName>
    <definedName name="sumtv">[34]CCS!$A$1:$R$77</definedName>
    <definedName name="SW">'[2]MDL-1'!#REF!</definedName>
    <definedName name="TV">#REF!,#REF!,#REF!,#REF!,#REF!,#REF!</definedName>
    <definedName localSheetId="0" name="USFC_Inventory_2">{"'vert'!$A$1:$T$117"}</definedName>
    <definedName name="USFC_Inventory_2">{"'vert'!$A$1:$T$117"}</definedName>
    <definedName name="utskriftområde">!$B$2:$O$65</definedName>
    <definedName localSheetId="0" name="Variability">'[28]Y! Media Plan'!#REF!</definedName>
    <definedName name="Variability">'[29]Y! Media Plan'!#REF!</definedName>
    <definedName localSheetId="0" name="Waterfall">{"'vert'!$A$1:$T$117"}</definedName>
    <definedName name="Waterfall">{"'vert'!$A$1:$T$117"}</definedName>
    <definedName localSheetId="0" name="Waterfall2">{"'vert'!$A$1:$T$117"}</definedName>
    <definedName name="Waterfall2">{"'vert'!$A$1:$T$117"}</definedName>
    <definedName localSheetId="0" name="WeekNumbers">[23]P3!#REF!</definedName>
    <definedName name="WeekNumbers">[24]P3!#REF!</definedName>
    <definedName name="wrthth">[34]SAD!$A$1:$U$31</definedName>
    <definedName name="xxx">'[2]MDL-1'!#REF!</definedName>
    <definedName localSheetId="0" name="z">{"'vert'!$A$1:$T$117"}</definedName>
    <definedName name="z">{"'vert'!$A$1:$T$117"}</definedName>
    <definedName localSheetId="0" name="zzz">{"'vert'!$A$1:$T$117"}</definedName>
    <definedName name="zzz">{"'vert'!$A$1:$T$117"}</definedName>
    <definedName name="_______sum2">#REF!</definedName>
    <definedName name="QWEDQA">#REF!</definedName>
    <definedName name="sADFASDFA">#REF!</definedName>
    <definedName name="wrth">#REF!</definedName>
    <definedName name="schedule">#REF!</definedName>
    <definedName name="___sum3">#REF!</definedName>
    <definedName name="adfg">#REF!</definedName>
    <definedName name="dsd">#REF!</definedName>
    <definedName name="______RAD1">#REF!</definedName>
    <definedName name="Mix">#REF!</definedName>
    <definedName name="B">#REF!</definedName>
    <definedName name="CAMPAIGN_PLAN">#REF!</definedName>
    <definedName name="Teu">#REF!</definedName>
    <definedName name="SAD">#REF!</definedName>
    <definedName name="ITL">#REF!</definedName>
    <definedName localSheetId="4" name="_____________key1">#REF!</definedName>
    <definedName name="ndasfasdfsaf">#REF!</definedName>
    <definedName name="SUMX">#REF!</definedName>
    <definedName name="_______sun1">#REF!</definedName>
    <definedName name="________sum1">#REF!</definedName>
    <definedName name="____________sun1">#REF!</definedName>
    <definedName name="_sum2">#REF!</definedName>
    <definedName name="utut">#REF!</definedName>
    <definedName name="FF">#REF!</definedName>
    <definedName name="burjuman">#REF!</definedName>
    <definedName name="total_imps">#REF!</definedName>
    <definedName name="wrwve">#REF!</definedName>
    <definedName name="total_cost">#REF!</definedName>
    <definedName name="____sun1">#REF!</definedName>
    <definedName name="UAE">#REF!</definedName>
    <definedName name="media">#REF!</definedName>
    <definedName name="dyuk">#REF!</definedName>
    <definedName name="_________sun1">#REF!</definedName>
    <definedName name="inkl">#REF!</definedName>
    <definedName name="hon">#REF!</definedName>
    <definedName name="Advertorials">#REF!</definedName>
    <definedName name="_key2">#REF!</definedName>
    <definedName name="som">#REF!</definedName>
    <definedName name="PRNT">#REF!</definedName>
    <definedName name="_sum3">#REF!</definedName>
    <definedName name="VGAW34VGAWERFW">#REF!</definedName>
    <definedName name="____sum3">#REF!</definedName>
    <definedName name="________sum3">#REF!</definedName>
    <definedName name="____________RAD1">#REF!</definedName>
    <definedName name="______sun1">#REF!</definedName>
    <definedName name="thwrh">#REF!</definedName>
    <definedName name="BUSINESSUNIT">#REF!</definedName>
    <definedName name="__sum1">#REF!</definedName>
    <definedName name="VGRGAWEGW">#REF!</definedName>
    <definedName name="_key3">#REF!</definedName>
    <definedName name="vqwevqwdfa">#REF!</definedName>
    <definedName name="PGLF">#REF!</definedName>
    <definedName name="________sun1">#REF!</definedName>
    <definedName name="________SA1">#REF!</definedName>
    <definedName name="OLE_LINK1">#REF!</definedName>
    <definedName name="CZK">#REF!</definedName>
    <definedName name="BHN">#REF!</definedName>
    <definedName name="ww">#REF!</definedName>
    <definedName name="Iraq2">#REF!</definedName>
    <definedName name="MLRPAN">#REF!</definedName>
    <definedName name="qqqqqqqqqq">#REF!</definedName>
    <definedName name="____________SA1">#REF!</definedName>
    <definedName name="HUF">#REF!</definedName>
    <definedName name="RAD">#REF!</definedName>
    <definedName name="BURSTS">#REF!</definedName>
    <definedName localSheetId="1" name="_____________key1">#REF!</definedName>
    <definedName name="wrtyryu">#REF!</definedName>
    <definedName name="ONLINE.">#REF!</definedName>
    <definedName name="__sum2">#REF!</definedName>
    <definedName name="__sun1">#REF!</definedName>
    <definedName name="FLIGHT">#REF!</definedName>
    <definedName name="nm">#REF!</definedName>
    <definedName name="_SA1">#REF!</definedName>
    <definedName name="mmmm">#REF!</definedName>
    <definedName name="BUD">#REF!</definedName>
    <definedName name="_RAD1">#REF!</definedName>
    <definedName name="jkho">#REF!</definedName>
    <definedName name="ap">#REF!</definedName>
    <definedName name="dollar_conversion">#REF!</definedName>
    <definedName name="_________key1">#REF!</definedName>
    <definedName name="____sum1">#REF!</definedName>
    <definedName name="AgileMarketing">#REF!</definedName>
    <definedName name="_8">#REF!</definedName>
    <definedName name="SYRIA">#REF!</definedName>
    <definedName name="sort">#REF!</definedName>
    <definedName name="x">#REF!</definedName>
    <definedName name="sssss">#REF!</definedName>
    <definedName name="händlerpreis">#REF!</definedName>
    <definedName name="vawrvawerva">#REF!</definedName>
    <definedName name="___SA1">#REF!</definedName>
    <definedName name="USD">#REF!</definedName>
    <definedName name="VFAWERFGAWERFGAS">#REF!</definedName>
    <definedName name="GBP">#REF!</definedName>
    <definedName name="TeaserMessage">#REF!</definedName>
    <definedName name="cve">#REF!</definedName>
    <definedName name="werwere">#REF!</definedName>
    <definedName name="ppp">#REF!</definedName>
    <definedName name="_Fill">#REF!</definedName>
    <definedName name="___sum2">#REF!</definedName>
    <definedName name="fill">#REF!</definedName>
    <definedName name="______key1">#REF!</definedName>
    <definedName name="uagsnlksp">#REF!</definedName>
    <definedName name="PLZ">#REF!</definedName>
    <definedName name="er">#REF!</definedName>
    <definedName name="____SA1">#REF!</definedName>
    <definedName name="PTTOT1">#REF!</definedName>
    <definedName name="mn">#REF!</definedName>
    <definedName name="ds">#REF!</definedName>
    <definedName name="q">#REF!</definedName>
    <definedName name="_sun1">#REF!</definedName>
    <definedName name="_____sum3">#REF!</definedName>
    <definedName name="hh">#REF!</definedName>
    <definedName localSheetId="3" name="_____________key1">#REF!</definedName>
    <definedName name="ASDF">#REF!</definedName>
    <definedName name="sort1">#REF!</definedName>
    <definedName name="_____sum2">#REF!</definedName>
    <definedName name="uilotui">#REF!</definedName>
    <definedName localSheetId="2" name="_____________key1">#REF!</definedName>
    <definedName name="radi">#REF!</definedName>
    <definedName name="_______RAD1">#REF!</definedName>
    <definedName name="new">#REF!</definedName>
    <definedName name="DEM">#REF!</definedName>
    <definedName name="fill1">#REF!</definedName>
    <definedName name="RADIO">#REF!</definedName>
    <definedName name="__key1">#REF!</definedName>
    <definedName name="_____key1">#REF!</definedName>
    <definedName name="_____sum1">#REF!</definedName>
    <definedName name="xx">#REF!</definedName>
    <definedName name="_______key1">#REF!</definedName>
    <definedName name="bhfs">#REF!</definedName>
    <definedName name="VAT">#REF!</definedName>
    <definedName name="impr">#REF!</definedName>
    <definedName name="weqweqw">#REF!</definedName>
    <definedName name="__sum3">#REF!</definedName>
    <definedName name="Advertising">#REF!</definedName>
    <definedName name="bbbb">#REF!</definedName>
    <definedName name="APPROVAL">#REF!</definedName>
    <definedName name="prnt2">#REF!</definedName>
    <definedName name="______sum3">#REF!</definedName>
    <definedName name="_______sum1">#REF!</definedName>
    <definedName name="_______sum3">#REF!</definedName>
    <definedName name="a">#REF!</definedName>
    <definedName name="BURSTS1">#REF!</definedName>
    <definedName name="iiii">#REF!</definedName>
    <definedName name="_________sum3">#REF!</definedName>
    <definedName name="key">#REF!</definedName>
    <definedName name="_Key1">#REF!</definedName>
    <definedName name="SA">#REF!</definedName>
    <definedName name="prints">#REF!</definedName>
    <definedName name="KWT">#REF!</definedName>
    <definedName name="BULIST">#REF!</definedName>
    <definedName name="Teaser2">#REF!</definedName>
    <definedName name="print">#REF!</definedName>
    <definedName name="pglf1">#REF!</definedName>
    <definedName name="_________RAD1">#REF!</definedName>
    <definedName name="_____SA1">#REF!</definedName>
    <definedName name="BK">#REF!</definedName>
    <definedName name="JOR">#REF!</definedName>
    <definedName name="pp">#REF!</definedName>
    <definedName name="dec">#REF!</definedName>
    <definedName name="__RAD1">#REF!</definedName>
    <definedName name="____sum2">#REF!</definedName>
    <definedName name="DUBAI92">#REF!</definedName>
    <definedName name="Parent">#REF!</definedName>
    <definedName name="_2">#REF!</definedName>
    <definedName name="droplist">#REF!</definedName>
    <definedName name="e3ee">#REF!</definedName>
    <definedName name="PTRAI1">#REF!</definedName>
    <definedName name="SUMM">#REF!</definedName>
    <definedName name="PLN">#REF!</definedName>
    <definedName name="s">#REF!</definedName>
    <definedName name="ttt">#REF!</definedName>
    <definedName name="__SA1">#REF!</definedName>
    <definedName name="_sum1">#REF!</definedName>
    <definedName name="November">#REF!</definedName>
    <definedName name="d">#REF!</definedName>
    <definedName name="_________sum2">#REF!</definedName>
    <definedName name="dfd">#REF!</definedName>
    <definedName name="___sum1">#REF!</definedName>
    <definedName name="DandA">#REF!</definedName>
    <definedName name="API">#REF!</definedName>
    <definedName name="ATS">#REF!</definedName>
    <definedName name="tttt">#REF!</definedName>
    <definedName name="Sko">#REF!</definedName>
    <definedName name="______SA1">#REF!</definedName>
    <definedName name="___sun1">#REF!</definedName>
    <definedName name="h">#REF!</definedName>
    <definedName name="_____________key1">#REF!</definedName>
    <definedName name="fee">#REF!</definedName>
    <definedName name="____key1">#REF!</definedName>
    <definedName name="t">#REF!</definedName>
    <definedName name="ssssssqaaa">#REF!</definedName>
    <definedName name="saad">#REF!</definedName>
    <definedName name="_3">#REF!</definedName>
    <definedName name="vbn">#REF!</definedName>
    <definedName name="_key4">#REF!</definedName>
    <definedName name="aps">#REF!</definedName>
    <definedName name="SUM">#REF!</definedName>
    <definedName name="PRNT1">#REF!</definedName>
    <definedName name="____RAD1">#REF!</definedName>
    <definedName name="Print_Area1">#REF!</definedName>
    <definedName name="_____RAD1">#REF!</definedName>
    <definedName name="PLAN">#REF!</definedName>
    <definedName name="_______SA1">#REF!</definedName>
    <definedName name="ayman">#REF!</definedName>
    <definedName name="______sum1">#REF!</definedName>
    <definedName name="_________sum1">#REF!</definedName>
    <definedName name="G12sD">#REF!</definedName>
    <definedName name="MF_18__Demographics___Education___Education_level_At_university_At_university__postgraduate__Doctorate_degree_Master_s_degree_Professional_degree_Some_university_Some_university__postgraduate__University_graduate">#REF!</definedName>
    <definedName name="___________sum3">#REF!</definedName>
    <definedName name="SUMM1">#REF!</definedName>
    <definedName name="________RAD1">#REF!</definedName>
    <definedName name="________sum2">#REF!</definedName>
    <definedName name="_bud1">#REF!</definedName>
    <definedName name="turtyuj">#REF!</definedName>
    <definedName name="_Sort">#REF!</definedName>
    <definedName name="______sum2">#REF!</definedName>
    <definedName name="_____sun1">#REF!</definedName>
    <definedName name="___RAD1">#REF!</definedName>
    <definedName name="khgg">#REF!</definedName>
    <definedName name="impr1">#REF!</definedName>
    <definedName name="PTPUB1">#REF!</definedName>
    <definedName name="_________SA1">#REF!</definedName>
    <definedName name="BookingPlan">#REF!</definedName>
    <definedName name="fuj">#REF!</definedName>
    <definedName name="___key1">#REF!</definedName>
    <definedName name="Reach___Frequency__CTW">#REF!</definedName>
    <definedName name="yu6w">#REF!</definedName>
    <definedName name="Bahrain">#REF!</definedName>
    <definedName name="o">#REF!</definedName>
    <definedName hidden="1" localSheetId="8" name="_xlnm._FilterDatabase">'Budgeting - Channel'!$G$4:$K$57</definedName>
  </definedNames>
  <calcPr/>
  <pivotCaches>
    <pivotCache cacheId="0" r:id="rId50"/>
  </pivotCaches>
  <extLst>
    <ext uri="GoogleSheetsCustomDataVersion2">
      <go:sheetsCustomData xmlns:go="http://customooxmlschemas.google.com/" r:id="rId51" roundtripDataChecksum="mjMQB5wbgG5N6Kp1aVaAq1Hky202ZpijF9kmGRdETJM="/>
    </ext>
  </extLst>
</workbook>
</file>

<file path=xl/sharedStrings.xml><?xml version="1.0" encoding="utf-8"?>
<sst xmlns="http://schemas.openxmlformats.org/spreadsheetml/2006/main" count="1212" uniqueCount="177">
  <si>
    <t>Company Name</t>
  </si>
  <si>
    <t>Universal Media Company (Single Partner Company with Limited Liability)</t>
  </si>
  <si>
    <t>Company Universal Media </t>
  </si>
  <si>
    <t>Client:</t>
  </si>
  <si>
    <t>LOC</t>
  </si>
  <si>
    <t>COMPANY ADDRESS</t>
  </si>
  <si>
    <t>MAWHIBA CENTER, OLAYA STREET, 2ND FLOOR, PO BOX 53034, RIYADH 11583 KINGDOM OF SAUDI ARABIA</t>
  </si>
  <si>
    <t>Campaign :</t>
  </si>
  <si>
    <t>Gulf Cup</t>
  </si>
  <si>
    <t>Market:</t>
  </si>
  <si>
    <t xml:space="preserve">VAT REGISTRATION </t>
  </si>
  <si>
    <t>KSA, GCC, Iraq, Yemen</t>
  </si>
  <si>
    <t>TIN: 3130381549</t>
  </si>
  <si>
    <t>KSA, GCC, Iraq</t>
  </si>
  <si>
    <t>VAT % FROM JULY 1ST 2020</t>
  </si>
  <si>
    <t>Media:</t>
  </si>
  <si>
    <t>Digital</t>
  </si>
  <si>
    <t>IBAN</t>
  </si>
  <si>
    <t>SA5445000000017396318001</t>
  </si>
  <si>
    <t>reference #</t>
  </si>
  <si>
    <t>-</t>
  </si>
  <si>
    <t>PO:</t>
  </si>
  <si>
    <t>Campaign code:</t>
  </si>
  <si>
    <t>Date:</t>
  </si>
  <si>
    <t>MEDIA PLAN DESCRIPTION</t>
  </si>
  <si>
    <t>PLATFORM</t>
  </si>
  <si>
    <t>Phase</t>
  </si>
  <si>
    <t>PLACEMENT</t>
  </si>
  <si>
    <t>Market</t>
  </si>
  <si>
    <t>TARGET MARKET</t>
  </si>
  <si>
    <t>MEDIUM</t>
  </si>
  <si>
    <t>VIDEO DURATION</t>
  </si>
  <si>
    <t>MP Cost- ( USD )</t>
  </si>
  <si>
    <t>DEVICE</t>
  </si>
  <si>
    <t>OBJECTIVE</t>
  </si>
  <si>
    <t>MP Cost- ( SAR )</t>
  </si>
  <si>
    <t>MEDIA BUY TYPE</t>
  </si>
  <si>
    <t>LANGUAGE</t>
  </si>
  <si>
    <t>AUDIENCE SEGMENT / TACTIC</t>
  </si>
  <si>
    <t>AUDIENCE SIZE</t>
  </si>
  <si>
    <t>Reach %</t>
  </si>
  <si>
    <t>Est. Reach</t>
  </si>
  <si>
    <t>Est. Frequency</t>
  </si>
  <si>
    <t>AD / CREATIVE</t>
  </si>
  <si>
    <t>DURATION</t>
  </si>
  <si>
    <t>BOOKED UNITS</t>
  </si>
  <si>
    <t>VTR</t>
  </si>
  <si>
    <t>ATTENTION:</t>
  </si>
  <si>
    <t>VIDEO VIEWS</t>
  </si>
  <si>
    <t>CLICKS</t>
  </si>
  <si>
    <t>Phase 1 - Aug - Sept (Launch)</t>
  </si>
  <si>
    <t>IMPRESSIONS</t>
  </si>
  <si>
    <t>NET UNIT
COST</t>
  </si>
  <si>
    <t>KSA</t>
  </si>
  <si>
    <t>Total Cost  ( USD )</t>
  </si>
  <si>
    <t>Cost ( SAR )</t>
  </si>
  <si>
    <t>FORMAT</t>
  </si>
  <si>
    <t xml:space="preserve">MARKET: </t>
  </si>
  <si>
    <t>META</t>
  </si>
  <si>
    <t>Feed</t>
  </si>
  <si>
    <t>6s + 15s</t>
  </si>
  <si>
    <t>CROSS DEVICE</t>
  </si>
  <si>
    <t>Awareness</t>
  </si>
  <si>
    <t>CPM</t>
  </si>
  <si>
    <t>English + Arabic</t>
  </si>
  <si>
    <t>Age:18-55
People who match:
Interests: Football, Saudi Soccer League,Association Football, All Soccer fans, Soccer Match
Events: Multi Sport Events, Live Matches
Behavior: Soccer Fans Medium &amp; High Content Engagement
Keywords: Gulf Cup, Soccer, Champions League</t>
  </si>
  <si>
    <t>Snapchat</t>
  </si>
  <si>
    <t>AR Activation for official Mascot</t>
  </si>
  <si>
    <t>Mascot Promotion</t>
  </si>
  <si>
    <t>MOBILE</t>
  </si>
  <si>
    <t>Video</t>
  </si>
  <si>
    <t>Sept 16</t>
  </si>
  <si>
    <t>Oct 6</t>
  </si>
  <si>
    <t xml:space="preserve">CLIENT: </t>
  </si>
  <si>
    <t>Sept 1</t>
  </si>
  <si>
    <t>Sept 30</t>
  </si>
  <si>
    <t>YouTube</t>
  </si>
  <si>
    <t>Select (Premium Sports Channels) for Official Song Promotion</t>
  </si>
  <si>
    <t>Aug 1</t>
  </si>
  <si>
    <t>Song Promotion</t>
  </si>
  <si>
    <t>Sept 15</t>
  </si>
  <si>
    <t>TikTok</t>
  </si>
  <si>
    <t>Programmatic (Anghami)</t>
  </si>
  <si>
    <t>Song Promotion  for official song</t>
  </si>
  <si>
    <t>Custom to the brand
Branded Song and Video Clip (if available) including tailored Lyrics, Title and Song Cover</t>
  </si>
  <si>
    <t>Fixed</t>
  </si>
  <si>
    <t>Arabic</t>
  </si>
  <si>
    <t>Audio</t>
  </si>
  <si>
    <t>Programmatic (TMV)</t>
  </si>
  <si>
    <t>3D and AR filters activation for Official Mascot</t>
  </si>
  <si>
    <t>Dynamic Ads</t>
  </si>
  <si>
    <t>Top Feed</t>
  </si>
  <si>
    <t>TBD</t>
  </si>
  <si>
    <t>VRC</t>
  </si>
  <si>
    <t>Total (KSA)</t>
  </si>
  <si>
    <t>Programmatic</t>
  </si>
  <si>
    <t>Premium sports websites</t>
  </si>
  <si>
    <t>Static</t>
  </si>
  <si>
    <t>Website Traffic</t>
  </si>
  <si>
    <t>GCC</t>
  </si>
  <si>
    <t>Snapchat First Commercial Takeover</t>
  </si>
  <si>
    <t>Programmatic (Spotify) Song Promotion</t>
  </si>
  <si>
    <t>First Commercial</t>
  </si>
  <si>
    <t>6s</t>
  </si>
  <si>
    <t>UAE, Oman, Kuwait, Qatar, Bahrain</t>
  </si>
  <si>
    <t>X</t>
  </si>
  <si>
    <t xml:space="preserve">Up to 30 Secs Audio file </t>
  </si>
  <si>
    <t>Mass</t>
  </si>
  <si>
    <t>SIGNATURES OF APPROVAL</t>
  </si>
  <si>
    <t>May 16</t>
  </si>
  <si>
    <t>FIXED</t>
  </si>
  <si>
    <t>Programmatic (Spotify) Mascot Promotion - Video</t>
  </si>
  <si>
    <t>Video Ads</t>
  </si>
  <si>
    <t>MOV, MP4 
-HD 720x1280 or similar (portrait)
-HD 1280x720 or similar (landscape)</t>
  </si>
  <si>
    <t xml:space="preserve">Video </t>
  </si>
  <si>
    <t>Programmatic (Videx Gaming)</t>
  </si>
  <si>
    <t>Programmatic (Spotify) Mascot Promotion - Display</t>
  </si>
  <si>
    <t>Dipslay Ads</t>
  </si>
  <si>
    <t>Streamer Mention, Live chat Interaction, Polls, Voting​
Moment Marketing​
Leaderboard​
Innova​
Tower​</t>
  </si>
  <si>
    <t>At least 600 x 600 pixels (1:1)
At least 600 x 500 pixels (6:5) 
File type: JPEG or PNG</t>
  </si>
  <si>
    <t>CPV</t>
  </si>
  <si>
    <t>Display</t>
  </si>
  <si>
    <t>UM MANAGER</t>
  </si>
  <si>
    <t>X Takeover</t>
  </si>
  <si>
    <t>Takeover</t>
  </si>
  <si>
    <t>Google</t>
  </si>
  <si>
    <t>Search Network</t>
  </si>
  <si>
    <t>CPC</t>
  </si>
  <si>
    <t>Total (GCC)</t>
  </si>
  <si>
    <t xml:space="preserve">Google </t>
  </si>
  <si>
    <t>PMAX</t>
  </si>
  <si>
    <t>Iraq</t>
  </si>
  <si>
    <t>Ticket Sales</t>
  </si>
  <si>
    <t>Google Search</t>
  </si>
  <si>
    <t>Total (Iraq)</t>
  </si>
  <si>
    <t>Yemen</t>
  </si>
  <si>
    <t>Google Pmax</t>
  </si>
  <si>
    <t>Grand Total (All Markets)</t>
  </si>
  <si>
    <t>Total (Phase 1)</t>
  </si>
  <si>
    <t>Ad Serving Fees (All Markets)</t>
  </si>
  <si>
    <t>Song and Mascot Promotion</t>
  </si>
  <si>
    <t>Total Media + Ad Serving Fees</t>
  </si>
  <si>
    <t>Total (Song and Mascot Promotion)</t>
  </si>
  <si>
    <t>Phase 2 - Sep - Oct</t>
  </si>
  <si>
    <t>Total (Yemen)</t>
  </si>
  <si>
    <t>Total Digital without VAT</t>
  </si>
  <si>
    <t>Ad Serving</t>
  </si>
  <si>
    <t>Agency Fee (Digital)</t>
  </si>
  <si>
    <t>Grand Total (NTM + Ad Serving + Agency Fee)</t>
  </si>
  <si>
    <t>VAT 15%</t>
  </si>
  <si>
    <t>Total with Agancy Fee + VAT</t>
  </si>
  <si>
    <t>GRAND TOTAL</t>
  </si>
  <si>
    <t>Budget</t>
  </si>
  <si>
    <t>Phase Budget %</t>
  </si>
  <si>
    <t>Estimated Added Value ( SAR )</t>
  </si>
  <si>
    <t>Total Budget %</t>
  </si>
  <si>
    <t>Budget ($)</t>
  </si>
  <si>
    <t>Phase 1</t>
  </si>
  <si>
    <t>Phase 2</t>
  </si>
  <si>
    <t>Aug 1 - Sept 15</t>
  </si>
  <si>
    <t>Early September</t>
  </si>
  <si>
    <t>Sept 16 - Oct 6</t>
  </si>
  <si>
    <t>TBC</t>
  </si>
  <si>
    <t>Total</t>
  </si>
  <si>
    <t>Grand Total</t>
  </si>
  <si>
    <t>Channel</t>
  </si>
  <si>
    <t>Budget (SAR)</t>
  </si>
  <si>
    <t>Phase 1 - Aug - Sept</t>
  </si>
  <si>
    <t>Sum of Budget ($)</t>
  </si>
  <si>
    <t>Sum of Budget (SAR)</t>
  </si>
  <si>
    <t>Row Labels</t>
  </si>
  <si>
    <t>Phase 1 Teaser</t>
  </si>
  <si>
    <t>Phase 2 - May 2026</t>
  </si>
  <si>
    <t>Phase 3 - June 2026</t>
  </si>
  <si>
    <t>Phase 4 - July 2026</t>
  </si>
  <si>
    <t>Phase 5 - Aug - Sept</t>
  </si>
  <si>
    <t>Phase 6 - Sept - 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</si>
</sst>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&quot;$&quot;#,##0"/>
    <numFmt numFmtId="165" formatCode="[$SAR]\ #,##0"/>
    <numFmt numFmtId="166" formatCode="_([$SAR]\ * #,##0.00_);_([$SAR]\ * \(#,##0.00\);_([$SAR]\ * &quot;-&quot;??_);_(@_)"/>
    <numFmt numFmtId="167" formatCode="[$SAR]\ #,##0.00"/>
    <numFmt numFmtId="168" formatCode="_(* #,##0_);_(* \(#,##0\);_(* &quot;-&quot;??_);_(@_)"/>
    <numFmt numFmtId="169" formatCode="0_)"/>
    <numFmt numFmtId="170" formatCode="_(&quot;$&quot;* #,##0_);_(&quot;$&quot;* \(#,##0\);_(&quot;$&quot;* &quot;-&quot;??_);_(@_)"/>
    <numFmt numFmtId="171" formatCode="_([$SAR]\ * #,##0_);_([$SAR]\ * \(#,##0\);_([$SAR]\ * &quot;-&quot;_);_(@_)"/>
    <numFmt numFmtId="172" formatCode="[$-409]d\-mmm\-yy"/>
    <numFmt numFmtId="173" formatCode="_([$$-409]* #,##0.00_);_([$$-409]* \(#,##0.00\);_([$$-409]* &quot;-&quot;??_);_(@_)"/>
    <numFmt numFmtId="174" formatCode="_([$$-409]* #,##0_);_([$$-409]* \(#,##0\);_([$$-409]* &quot;-&quot;??_);_(@_)"/>
    <numFmt numFmtId="175" formatCode="_(&quot;$&quot;* #,##0.0_);_(&quot;$&quot;* \(#,##0.0\);_(&quot;$&quot;* &quot;-&quot;?_);_(@_)"/>
    <numFmt numFmtId="176" formatCode="_(&quot;$&quot;* #,##0_);_(&quot;$&quot;* \(#,##0\);_(&quot;$&quot;* &quot;-&quot;?_);_(@_)"/>
    <numFmt numFmtId="177" formatCode="_-[$$-409]* #,##0.00_ ;_-[$$-409]* \-#,##0.00\ ;_-[$$-409]* &quot;-&quot;??_ ;_-@_ "/>
    <numFmt numFmtId="178" formatCode="_([$SAR]\ * #,##0_);_([$SAR]\ * \(#,##0\);_([$SAR]\ * &quot;-&quot;??_);_(@_)"/>
    <numFmt numFmtId="179" formatCode="_(&quot;$&quot;* #,##0.00_);_(&quot;$&quot;* \(#,##0.00\);_(&quot;$&quot;* &quot;-&quot;??_);_(@_)"/>
    <numFmt numFmtId="180" formatCode="_(* #,##0.0_);_(* \(#,##0.0\);_(* &quot;-&quot;??_);_(@_)"/>
    <numFmt numFmtId="181" formatCode="_(* #,##0.00_);_(* \(#,##0.00\);_(* &quot;-&quot;??_);_(@_)"/>
  </numFmts>
  <fonts count="27">
    <font>
      <sz val="11.0"/>
      <color theme="1"/>
      <name val="Aptos Narrow"/>
      <scheme val="minor"/>
    </font>
    <font>
      <sz val="11.0"/>
      <color rgb="FF000000"/>
      <name val="Aptos Narrow"/>
    </font>
    <font>
      <sz val="12.0"/>
      <color theme="1"/>
      <name val="Calibri"/>
    </font>
    <font>
      <b/>
      <sz val="34.0"/>
      <color theme="1"/>
      <name val="Calibri"/>
    </font>
    <font>
      <sz val="12.0"/>
      <color theme="1"/>
      <name val="Aptos Narrow"/>
    </font>
    <font>
      <sz val="11.0"/>
      <color theme="1"/>
      <name val="Aptos Narrow"/>
    </font>
    <font>
      <b/>
      <sz val="10.0"/>
      <color theme="1"/>
      <name val="Aptos Narrow"/>
    </font>
    <font>
      <sz val="9.0"/>
      <color rgb="FF000000"/>
      <name val="Helvetica Neue"/>
    </font>
    <font>
      <b/>
      <sz val="10.0"/>
      <color rgb="FF000000"/>
      <name val="Helvetica Neue"/>
    </font>
    <font>
      <b/>
      <sz val="9.0"/>
      <color rgb="FF000000"/>
      <name val="Helvetica Neue"/>
    </font>
    <font>
      <b/>
      <sz val="12.0"/>
      <color rgb="FF000000"/>
      <name val="Helvetica Neue"/>
    </font>
    <font>
      <sz val="9.0"/>
      <color theme="1"/>
      <name val="Helvetica Neue"/>
    </font>
    <font>
      <sz val="6.0"/>
      <color rgb="FF3C4043"/>
      <name val="Arial"/>
    </font>
    <font>
      <sz val="11.0"/>
      <color rgb="FFFFFFFF"/>
      <name val="Aptos Narrow"/>
    </font>
    <font/>
    <font>
      <sz val="10.0"/>
      <color theme="1"/>
      <name val="Helvetica Neue"/>
    </font>
    <font>
      <b/>
      <sz val="10.0"/>
      <color theme="1"/>
      <name val="Calibri"/>
    </font>
    <font>
      <sz val="10.0"/>
      <color theme="1"/>
      <name val="Calibri"/>
    </font>
    <font>
      <u/>
      <sz val="11.0"/>
      <color theme="10"/>
      <name val="Aptos Narrow"/>
    </font>
    <font>
      <b/>
      <sz val="11.0"/>
      <color theme="0"/>
      <name val="Aptos Narrow"/>
    </font>
    <font>
      <sz val="10.0"/>
      <color theme="1"/>
      <name val="Aptos Narrow"/>
    </font>
    <font>
      <sz val="10.0"/>
      <color rgb="FF000000"/>
      <name val="Aptos Narrow"/>
    </font>
    <font>
      <b/>
      <sz val="10.0"/>
      <color theme="1"/>
      <name val="Helvetica Neue"/>
    </font>
    <font>
      <b/>
      <sz val="11.0"/>
      <color theme="1"/>
      <name val="Aptos Narrow"/>
    </font>
    <font>
      <b/>
      <sz val="11.0"/>
      <color rgb="FF000000"/>
      <name val="Aptos Narrow"/>
    </font>
    <font>
      <sz val="9.0"/>
      <color theme="1"/>
      <name val="Calibri"/>
    </font>
    <font>
      <color theme="1"/>
      <name val="Aptos Narrow"/>
      <scheme val="minor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1CEEE"/>
        <bgColor rgb="FFF1CEEE"/>
      </patternFill>
    </fill>
    <fill>
      <patternFill patternType="solid">
        <fgColor rgb="FFD9D9D9"/>
        <bgColor rgb="FFD9D9D9"/>
      </patternFill>
    </fill>
    <fill>
      <patternFill patternType="solid">
        <fgColor rgb="FFC1E4F5"/>
        <bgColor rgb="FFC1E4F5"/>
      </patternFill>
    </fill>
    <fill>
      <patternFill patternType="solid">
        <fgColor rgb="FFF1A983"/>
        <bgColor rgb="FFF1A983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rgb="FF84E291"/>
        <bgColor rgb="FF84E291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3" fontId="4" numFmtId="0" xfId="0" applyBorder="1" applyFill="1" applyFont="1"/>
    <xf borderId="1" fillId="0" fontId="6" numFmtId="0" xfId="0" applyAlignment="1" applyBorder="1" applyFont="1">
      <alignment horizontal="left" shrinkToFit="0" vertical="center" wrapText="1"/>
    </xf>
    <xf borderId="0" fillId="0" fontId="7" numFmtId="0" xfId="0" applyFont="1"/>
    <xf borderId="1" fillId="0" fontId="8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5" numFmtId="49" xfId="0" applyAlignment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left" vertical="center"/>
    </xf>
    <xf borderId="0" fillId="0" fontId="5" numFmtId="3" xfId="0" applyAlignment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horizontal="center" shrinkToFit="0" vertical="center" wrapText="1"/>
    </xf>
    <xf borderId="0" fillId="0" fontId="11" numFmtId="0" xfId="0" applyFont="1"/>
    <xf borderId="0" fillId="0" fontId="10" numFmtId="0" xfId="0" applyAlignment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2" fontId="4" numFmtId="1" xfId="0" applyAlignment="1" applyBorder="1" applyFill="1" applyFont="1" applyNumberFormat="1">
      <alignment horizontal="left" vertical="center"/>
    </xf>
    <xf borderId="2" fillId="3" fontId="11" numFmtId="0" xfId="0" applyBorder="1" applyFill="1" applyFont="1"/>
    <xf borderId="0" fillId="0" fontId="10" numFmtId="0" xfId="0" applyAlignment="1" applyFont="1">
      <alignment horizontal="left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1" fillId="2" fontId="4" numFmtId="9" xfId="0" applyAlignment="1" applyBorder="1" applyFill="1" applyFont="1" applyNumberFormat="1">
      <alignment horizontal="left" vertical="center"/>
    </xf>
    <xf borderId="2" fillId="4" fontId="5" numFmtId="166" xfId="0" applyAlignment="1" applyBorder="1" applyFill="1" applyFont="1" applyNumberFormat="1">
      <alignment horizontal="center" shrinkToFit="0" vertical="center" wrapText="1"/>
    </xf>
    <xf borderId="2" fillId="4" fontId="5" numFmtId="167" xfId="0" applyAlignment="1" applyBorder="1" applyFill="1" applyFont="1" applyNumberFormat="1">
      <alignment horizontal="center" shrinkToFit="0" vertical="center" wrapText="1"/>
    </xf>
    <xf quotePrefix="1" borderId="1" fillId="0" fontId="8" numFmtId="0" xfId="0" applyAlignment="1" applyBorder="1" applyFont="1">
      <alignment horizontal="left" vertical="center"/>
    </xf>
    <xf quotePrefix="1" borderId="1" fillId="0" fontId="10" numFmtId="0" xfId="0" applyAlignment="1" applyBorder="1" applyFont="1">
      <alignment horizontal="left" vertical="center"/>
    </xf>
    <xf borderId="0" fillId="0" fontId="12" numFmtId="3" xfId="0" applyFont="1" applyNumberFormat="1"/>
    <xf borderId="2" fillId="4" fontId="5" numFmtId="10" xfId="0" applyAlignment="1" applyBorder="1" applyFill="1" applyFont="1" applyNumberFormat="1">
      <alignment horizontal="center" shrinkToFit="0" vertical="center" wrapText="1"/>
    </xf>
    <xf borderId="1" fillId="0" fontId="9" numFmtId="15" xfId="0" applyAlignment="1" applyBorder="1" applyFont="1" applyNumberFormat="1">
      <alignment horizontal="left" vertical="center"/>
    </xf>
    <xf borderId="2" fillId="4" fontId="5" numFmtId="168" xfId="0" applyAlignment="1" applyBorder="1" applyFill="1" applyFont="1" applyNumberFormat="1">
      <alignment horizontal="center" shrinkToFit="0" vertical="center" wrapText="1"/>
    </xf>
    <xf borderId="1" fillId="0" fontId="6" numFmtId="15" xfId="0" applyAlignment="1" applyBorder="1" applyFont="1" applyNumberFormat="1">
      <alignment horizontal="left" shrinkToFit="0" vertical="center" wrapText="1"/>
    </xf>
    <xf borderId="1" fillId="0" fontId="10" numFmtId="15" xfId="0" applyAlignment="1" applyBorder="1" applyFont="1" applyNumberFormat="1">
      <alignment horizontal="left"/>
    </xf>
    <xf borderId="0" fillId="0" fontId="10" numFmtId="15" xfId="0" applyAlignment="1" applyFont="1" applyNumberFormat="1">
      <alignment horizontal="left"/>
    </xf>
    <xf borderId="1" fillId="0" fontId="8" numFmtId="15" xfId="0" applyAlignment="1" applyBorder="1" applyFont="1" applyNumberFormat="1">
      <alignment horizontal="left"/>
    </xf>
    <xf borderId="0" fillId="0" fontId="8" numFmtId="15" xfId="0" applyAlignment="1" applyFont="1" applyNumberFormat="1">
      <alignment horizontal="left"/>
    </xf>
    <xf borderId="0" fillId="0" fontId="2" numFmtId="15" xfId="0" applyAlignment="1" applyFont="1" applyNumberFormat="1">
      <alignment vertical="center"/>
    </xf>
    <xf borderId="0" fillId="0" fontId="5" numFmtId="168" xfId="0" applyAlignment="1" applyFont="1" applyNumberForma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5" fillId="0" fontId="14" numFmtId="0" xfId="0" applyBorder="1" applyFont="1"/>
    <xf borderId="6" fillId="5" fontId="1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7" fillId="0" fontId="14" numFmtId="0" xfId="0" applyBorder="1" applyFont="1"/>
    <xf borderId="8" fillId="0" fontId="14" numFmtId="0" xfId="0" applyBorder="1" applyFont="1"/>
    <xf borderId="9" fillId="0" fontId="14" numFmtId="0" xfId="0" applyBorder="1" applyFont="1"/>
    <xf borderId="10" fillId="0" fontId="14" numFmtId="0" xfId="0" applyBorder="1" applyFont="1"/>
    <xf borderId="11" fillId="0" fontId="14" numFmtId="0" xfId="0" applyBorder="1" applyFont="1"/>
    <xf borderId="12" fillId="0" fontId="14" numFmtId="0" xfId="0" applyBorder="1" applyFont="1"/>
    <xf borderId="1" fillId="5" fontId="13" numFmtId="3" xfId="0" applyAlignment="1" applyBorder="1" applyFill="1" applyFont="1" applyNumberFormat="1">
      <alignment horizontal="center" shrinkToFit="0" vertical="center" wrapText="1"/>
    </xf>
    <xf borderId="4" fillId="5" fontId="13" numFmtId="3" xfId="0" applyAlignment="1" applyBorder="1" applyFill="1" applyFont="1" applyNumberFormat="1">
      <alignment horizontal="center" shrinkToFit="0" vertical="center" wrapText="1"/>
    </xf>
    <xf borderId="6" fillId="5" fontId="13" numFmtId="3" xfId="0" applyAlignment="1" applyBorder="1" applyFill="1" applyFont="1" applyNumberFormat="1">
      <alignment horizontal="center" shrinkToFit="0" vertical="center" wrapText="1"/>
    </xf>
    <xf borderId="13" fillId="0" fontId="16" numFmtId="0" xfId="0" applyAlignment="1" applyBorder="1" applyFont="1">
      <alignment horizontal="left" vertical="center"/>
    </xf>
    <xf borderId="14" fillId="0" fontId="17" numFmtId="0" xfId="0" applyAlignment="1" applyBorder="1" applyFont="1">
      <alignment horizontal="left" vertical="center"/>
    </xf>
    <xf borderId="6" fillId="0" fontId="18" numFmtId="169" xfId="0" applyAlignment="1" applyBorder="1" applyFont="1" applyNumberFormat="1">
      <alignment horizontal="center" vertical="center"/>
    </xf>
    <xf borderId="6" fillId="5" fontId="13" numFmtId="166" xfId="0" applyAlignment="1" applyBorder="1" applyFill="1" applyFont="1" applyNumberFormat="1">
      <alignment horizontal="center" shrinkToFit="0" vertical="center" wrapText="1"/>
    </xf>
    <xf borderId="4" fillId="0" fontId="15" numFmtId="169" xfId="0" applyAlignment="1" applyBorder="1" applyFont="1" applyNumberFormat="1">
      <alignment horizontal="center" vertical="center"/>
    </xf>
    <xf borderId="15" fillId="0" fontId="15" numFmtId="0" xfId="0" applyAlignment="1" applyBorder="1" applyFont="1">
      <alignment horizontal="center" vertical="center"/>
    </xf>
    <xf borderId="16" fillId="0" fontId="15" numFmtId="170" xfId="0" applyAlignment="1" applyBorder="1" applyFont="1" applyNumberFormat="1">
      <alignment horizontal="center" vertical="center"/>
    </xf>
    <xf borderId="17" fillId="5" fontId="19" numFmtId="0" xfId="0" applyAlignment="1" applyBorder="1" applyFill="1" applyFont="1">
      <alignment horizontal="center" shrinkToFit="0" vertical="center" wrapText="1"/>
    </xf>
    <xf borderId="18" fillId="0" fontId="14" numFmtId="0" xfId="0" applyBorder="1" applyFont="1"/>
    <xf borderId="19" fillId="0" fontId="15" numFmtId="171" xfId="0" applyAlignment="1" applyBorder="1" applyFont="1" applyNumberFormat="1">
      <alignment horizontal="right" vertical="center"/>
    </xf>
    <xf borderId="0" fillId="0" fontId="15" numFmtId="166" xfId="0" applyAlignment="1" applyFont="1" applyNumberFormat="1">
      <alignment vertical="center"/>
    </xf>
    <xf borderId="20" fillId="0" fontId="16" numFmtId="169" xfId="0" applyAlignment="1" applyBorder="1" applyFont="1" applyNumberFormat="1">
      <alignment horizontal="left" vertical="center"/>
    </xf>
    <xf borderId="6" fillId="0" fontId="20" numFmtId="0" xfId="0" applyAlignment="1" applyBorder="1" applyFont="1">
      <alignment horizontal="center" shrinkToFit="0" vertical="center" wrapText="1"/>
    </xf>
    <xf borderId="2" fillId="5" fontId="19" numFmtId="0" xfId="0" applyAlignment="1" applyBorder="1" applyFill="1" applyFont="1">
      <alignment horizontal="center" shrinkToFit="0" vertical="center" wrapText="1"/>
    </xf>
    <xf borderId="21" fillId="0" fontId="17" numFmtId="169" xfId="0" applyAlignment="1" applyBorder="1" applyFont="1" applyNumberFormat="1">
      <alignment horizontal="left" shrinkToFit="0" vertical="center" wrapText="1"/>
    </xf>
    <xf borderId="1" fillId="0" fontId="20" numFmtId="3" xfId="0" applyAlignment="1" applyBorder="1" applyFont="1" applyNumberFormat="1">
      <alignment horizontal="center" shrinkToFit="0" vertical="center" wrapText="1"/>
    </xf>
    <xf borderId="22" fillId="0" fontId="14" numFmtId="0" xfId="0" applyBorder="1" applyFont="1"/>
    <xf borderId="23" fillId="0" fontId="14" numFmtId="0" xfId="0" applyBorder="1" applyFont="1"/>
    <xf borderId="24" fillId="0" fontId="14" numFmtId="0" xfId="0" applyBorder="1" applyFont="1"/>
    <xf borderId="6" fillId="0" fontId="20" numFmtId="9" xfId="0" applyAlignment="1" applyBorder="1" applyFont="1" applyNumberFormat="1">
      <alignment horizontal="center" shrinkToFit="0" vertical="center" wrapText="1"/>
    </xf>
    <xf borderId="6" fillId="0" fontId="20" numFmtId="3" xfId="0" applyAlignment="1" applyBorder="1" applyFont="1" applyNumberFormat="1">
      <alignment horizontal="center" shrinkToFit="0" vertical="center" wrapText="1"/>
    </xf>
    <xf borderId="22" fillId="0" fontId="20" numFmtId="0" xfId="0" applyAlignment="1" applyBorder="1" applyFont="1">
      <alignment horizontal="center" shrinkToFit="0" vertical="center" wrapText="1"/>
    </xf>
    <xf quotePrefix="1" borderId="17" fillId="0" fontId="20" numFmtId="172" xfId="0" applyAlignment="1" applyBorder="1" applyFont="1" applyNumberFormat="1">
      <alignment horizontal="center" shrinkToFit="0" vertical="center" wrapText="1"/>
    </xf>
    <xf borderId="1" fillId="0" fontId="20" numFmtId="37" xfId="0" applyAlignment="1" applyBorder="1" applyFont="1" applyNumberFormat="1">
      <alignment horizontal="center" shrinkToFit="0" vertical="center" wrapText="1"/>
    </xf>
    <xf borderId="1" fillId="0" fontId="20" numFmtId="9" xfId="0" applyAlignment="1" applyBorder="1" applyFont="1" applyNumberFormat="1">
      <alignment horizontal="center" shrinkToFit="0" vertical="center" wrapText="1"/>
    </xf>
    <xf borderId="21" fillId="0" fontId="17" numFmtId="169" xfId="0" applyAlignment="1" applyBorder="1" applyFont="1" applyNumberFormat="1">
      <alignment horizontal="left" vertical="center"/>
    </xf>
    <xf borderId="18" fillId="0" fontId="20" numFmtId="37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1" fillId="0" fontId="20" numFmtId="173" xfId="0" applyAlignment="1" applyBorder="1" applyFont="1" applyNumberFormat="1">
      <alignment horizontal="center" shrinkToFit="0" vertical="center" wrapText="1"/>
    </xf>
    <xf borderId="1" fillId="2" fontId="20" numFmtId="174" xfId="0" applyAlignment="1" applyBorder="1" applyFill="1" applyFont="1" applyNumberFormat="1">
      <alignment horizontal="center" shrinkToFit="0" vertical="center" wrapText="1"/>
    </xf>
    <xf borderId="1" fillId="0" fontId="21" numFmtId="165" xfId="0" applyAlignment="1" applyBorder="1" applyFont="1" applyNumberFormat="1">
      <alignment horizontal="center" shrinkToFit="0" vertical="center" wrapText="1"/>
    </xf>
    <xf borderId="20" fillId="0" fontId="22" numFmtId="169" xfId="0" applyAlignment="1" applyBorder="1" applyFont="1" applyNumberFormat="1">
      <alignment horizontal="left" vertical="center"/>
    </xf>
    <xf borderId="21" fillId="0" fontId="15" numFmtId="169" xfId="0" applyAlignment="1" applyBorder="1" applyFont="1" applyNumberFormat="1">
      <alignment horizontal="left" vertical="center"/>
    </xf>
    <xf borderId="1" fillId="0" fontId="20" numFmtId="174" xfId="0" applyAlignment="1" applyBorder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0" fillId="0" fontId="1" numFmtId="175" xfId="0" applyAlignment="1" applyFont="1" applyNumberFormat="1">
      <alignment horizontal="center" shrinkToFit="0" vertical="center" wrapText="1"/>
    </xf>
    <xf borderId="17" fillId="6" fontId="1" numFmtId="0" xfId="0" applyAlignment="1" applyBorder="1" applyFill="1" applyFont="1">
      <alignment horizontal="center" shrinkToFit="0" vertical="center" wrapText="1"/>
    </xf>
    <xf borderId="25" fillId="0" fontId="14" numFmtId="0" xfId="0" applyBorder="1" applyFont="1"/>
    <xf borderId="1" fillId="6" fontId="1" numFmtId="0" xfId="0" applyAlignment="1" applyBorder="1" applyFill="1" applyFont="1">
      <alignment shrinkToFit="0" vertical="center" wrapText="1"/>
    </xf>
    <xf borderId="1" fillId="6" fontId="20" numFmtId="37" xfId="0" applyAlignment="1" applyBorder="1" applyFill="1" applyFont="1" applyNumberFormat="1">
      <alignment horizontal="center" shrinkToFit="0" vertical="center" wrapText="1"/>
    </xf>
    <xf borderId="1" fillId="6" fontId="20" numFmtId="174" xfId="0" applyAlignment="1" applyBorder="1" applyFill="1" applyFont="1" applyNumberFormat="1">
      <alignment horizontal="center" shrinkToFit="0" vertical="center" wrapText="1"/>
    </xf>
    <xf borderId="1" fillId="6" fontId="21" numFmtId="165" xfId="0" applyAlignment="1" applyBorder="1" applyFill="1" applyFont="1" applyNumberFormat="1">
      <alignment horizontal="center" shrinkToFit="0" vertical="center" wrapText="1"/>
    </xf>
    <xf borderId="0" fillId="0" fontId="1" numFmtId="176" xfId="0" applyAlignment="1" applyFont="1" applyNumberFormat="1">
      <alignment horizontal="center" shrinkToFit="0" vertical="center" wrapText="1"/>
    </xf>
    <xf borderId="26" fillId="5" fontId="13" numFmtId="0" xfId="0" applyAlignment="1" applyBorder="1" applyFill="1" applyFont="1">
      <alignment horizontal="center" shrinkToFit="0" vertical="center" wrapText="1"/>
    </xf>
    <xf borderId="27" fillId="5" fontId="13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vertical="center"/>
    </xf>
    <xf borderId="5" fillId="0" fontId="15" numFmtId="0" xfId="0" applyAlignment="1" applyBorder="1" applyFont="1">
      <alignment vertical="center"/>
    </xf>
    <xf borderId="23" fillId="0" fontId="22" numFmtId="0" xfId="0" applyAlignment="1" applyBorder="1" applyFont="1">
      <alignment vertical="center"/>
    </xf>
    <xf borderId="24" fillId="0" fontId="15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" fillId="3" fontId="1" numFmtId="170" xfId="0" applyAlignment="1" applyBorder="1" applyFill="1" applyFont="1" applyNumberFormat="1">
      <alignment horizontal="center" shrinkToFit="0" vertical="center" wrapText="1"/>
    </xf>
    <xf borderId="1" fillId="5" fontId="19" numFmtId="37" xfId="0" applyAlignment="1" applyBorder="1" applyFill="1" applyFont="1" applyNumberFormat="1">
      <alignment horizontal="center" shrinkToFit="0" vertical="center" wrapText="1"/>
    </xf>
    <xf borderId="1" fillId="5" fontId="19" numFmtId="177" xfId="0" applyAlignment="1" applyBorder="1" applyFill="1" applyFont="1" applyNumberFormat="1">
      <alignment horizontal="center" shrinkToFit="0" vertical="center" wrapText="1"/>
    </xf>
    <xf borderId="17" fillId="7" fontId="15" numFmtId="0" xfId="0" applyAlignment="1" applyBorder="1" applyFill="1" applyFont="1">
      <alignment horizontal="center" vertical="center"/>
    </xf>
    <xf quotePrefix="1" borderId="4" fillId="0" fontId="20" numFmtId="172" xfId="0" applyAlignment="1" applyBorder="1" applyFont="1" applyNumberFormat="1">
      <alignment horizontal="center" shrinkToFit="0" vertical="center" wrapText="1"/>
    </xf>
    <xf borderId="1" fillId="5" fontId="19" numFmtId="174" xfId="0" applyAlignment="1" applyBorder="1" applyFill="1" applyFont="1" applyNumberFormat="1">
      <alignment horizontal="center" shrinkToFit="0" vertical="center" wrapText="1"/>
    </xf>
    <xf borderId="1" fillId="7" fontId="15" numFmtId="170" xfId="0" applyAlignment="1" applyBorder="1" applyFill="1" applyFont="1" applyNumberFormat="1">
      <alignment horizontal="center" vertical="center"/>
    </xf>
    <xf borderId="1" fillId="5" fontId="19" numFmtId="178" xfId="0" applyAlignment="1" applyBorder="1" applyFill="1" applyFont="1" applyNumberFormat="1">
      <alignment horizontal="center" shrinkToFit="0" vertical="center" wrapText="1"/>
    </xf>
    <xf borderId="1" fillId="7" fontId="15" numFmtId="171" xfId="0" applyAlignment="1" applyBorder="1" applyFill="1" applyFont="1" applyNumberFormat="1">
      <alignment horizontal="right" vertical="center"/>
    </xf>
    <xf borderId="4" fillId="0" fontId="15" numFmtId="0" xfId="0" applyAlignment="1" applyBorder="1" applyFont="1">
      <alignment horizontal="center" vertical="center"/>
    </xf>
    <xf borderId="17" fillId="6" fontId="23" numFmtId="0" xfId="0" applyAlignment="1" applyBorder="1" applyFill="1" applyFont="1">
      <alignment horizontal="center" shrinkToFit="0" vertical="center" wrapText="1"/>
    </xf>
    <xf borderId="1" fillId="6" fontId="19" numFmtId="0" xfId="0" applyAlignment="1" applyBorder="1" applyFill="1" applyFont="1">
      <alignment horizontal="center" shrinkToFit="0" wrapText="1"/>
    </xf>
    <xf borderId="26" fillId="6" fontId="23" numFmtId="174" xfId="0" applyAlignment="1" applyBorder="1" applyFill="1" applyFont="1" applyNumberFormat="1">
      <alignment horizontal="center" shrinkToFit="0" wrapText="1"/>
    </xf>
    <xf borderId="1" fillId="6" fontId="24" numFmtId="178" xfId="0" applyAlignment="1" applyBorder="1" applyFill="1" applyFont="1" applyNumberFormat="1">
      <alignment horizontal="center" shrinkToFit="0" wrapText="1"/>
    </xf>
    <xf borderId="0" fillId="0" fontId="1" numFmtId="178" xfId="0" applyAlignment="1" applyFont="1" applyNumberForma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" fillId="7" fontId="15" numFmtId="168" xfId="0" applyAlignment="1" applyBorder="1" applyFill="1" applyFont="1" applyNumberFormat="1">
      <alignment horizontal="center" vertical="center"/>
    </xf>
    <xf borderId="0" fillId="0" fontId="15" numFmtId="179" xfId="0" applyAlignment="1" applyFont="1" applyNumberFormat="1">
      <alignment vertical="center"/>
    </xf>
    <xf borderId="28" fillId="0" fontId="15" numFmtId="169" xfId="0" applyAlignment="1" applyBorder="1" applyFont="1" applyNumberFormat="1">
      <alignment horizontal="left" vertical="center"/>
    </xf>
    <xf borderId="29" fillId="0" fontId="15" numFmtId="0" xfId="0" applyAlignment="1" applyBorder="1" applyFont="1">
      <alignment horizontal="left" vertical="center"/>
    </xf>
    <xf borderId="16" fillId="0" fontId="15" numFmtId="170" xfId="0" applyAlignment="1" applyBorder="1" applyFont="1" applyNumberFormat="1">
      <alignment horizontal="left" vertical="center"/>
    </xf>
    <xf borderId="19" fillId="0" fontId="15" numFmtId="178" xfId="0" applyAlignment="1" applyBorder="1" applyFont="1" applyNumberFormat="1">
      <alignment horizontal="left" vertical="center"/>
    </xf>
    <xf borderId="0" fillId="0" fontId="2" numFmtId="178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29" fillId="0" fontId="22" numFmtId="0" xfId="0" applyAlignment="1" applyBorder="1" applyFont="1">
      <alignment horizontal="left" vertical="center"/>
    </xf>
    <xf borderId="16" fillId="0" fontId="22" numFmtId="170" xfId="0" applyAlignment="1" applyBorder="1" applyFont="1" applyNumberFormat="1">
      <alignment horizontal="left" vertical="center"/>
    </xf>
    <xf borderId="19" fillId="0" fontId="22" numFmtId="178" xfId="0" applyAlignment="1" applyBorder="1" applyFont="1" applyNumberFormat="1">
      <alignment horizontal="left" vertical="center"/>
    </xf>
    <xf borderId="17" fillId="8" fontId="22" numFmtId="180" xfId="0" applyAlignment="1" applyBorder="1" applyFill="1" applyFont="1" applyNumberFormat="1">
      <alignment horizontal="center" vertical="center"/>
    </xf>
    <xf borderId="27" fillId="8" fontId="22" numFmtId="170" xfId="0" applyAlignment="1" applyBorder="1" applyFill="1" applyFont="1" applyNumberFormat="1">
      <alignment horizontal="center" vertical="center"/>
    </xf>
    <xf borderId="27" fillId="8" fontId="22" numFmtId="171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shrinkToFit="0" wrapText="1"/>
    </xf>
    <xf borderId="1" fillId="9" fontId="25" numFmtId="0" xfId="0" applyAlignment="1" applyBorder="1" applyFill="1" applyFont="1">
      <alignment horizontal="center"/>
    </xf>
    <xf borderId="0" fillId="0" fontId="20" numFmtId="0" xfId="0" applyFont="1"/>
    <xf borderId="6" fillId="0" fontId="25" numFmtId="0" xfId="0" applyAlignment="1" applyBorder="1" applyFont="1">
      <alignment horizontal="center" vertical="center"/>
    </xf>
    <xf quotePrefix="1" borderId="1" fillId="7" fontId="17" numFmtId="0" xfId="0" applyAlignment="1" applyBorder="1" applyFill="1" applyFont="1">
      <alignment horizontal="center"/>
    </xf>
    <xf borderId="1" fillId="7" fontId="17" numFmtId="0" xfId="0" applyAlignment="1" applyBorder="1" applyFill="1" applyFont="1">
      <alignment horizontal="center"/>
    </xf>
    <xf borderId="1" fillId="0" fontId="20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/>
    </xf>
    <xf quotePrefix="1" borderId="1" fillId="10" fontId="17" numFmtId="0" xfId="0" applyAlignment="1" applyBorder="1" applyFill="1" applyFont="1">
      <alignment horizontal="center"/>
    </xf>
    <xf quotePrefix="1" borderId="1" fillId="11" fontId="17" numFmtId="0" xfId="0" applyAlignment="1" applyBorder="1" applyFill="1" applyFont="1">
      <alignment horizontal="center"/>
    </xf>
    <xf borderId="1" fillId="0" fontId="17" numFmtId="0" xfId="0" applyAlignment="1" applyBorder="1" applyFont="1">
      <alignment horizontal="center"/>
    </xf>
    <xf borderId="1" fillId="0" fontId="25" numFmtId="165" xfId="0" applyAlignment="1" applyBorder="1" applyFont="1" applyNumberFormat="1">
      <alignment horizontal="center"/>
    </xf>
    <xf borderId="1" fillId="0" fontId="25" numFmtId="9" xfId="0" applyAlignment="1" applyBorder="1" applyFont="1" applyNumberFormat="1">
      <alignment horizontal="center"/>
    </xf>
    <xf borderId="1" fillId="0" fontId="17" numFmtId="164" xfId="0" applyAlignment="1" applyBorder="1" applyFont="1" applyNumberFormat="1">
      <alignment horizontal="center"/>
    </xf>
    <xf borderId="1" fillId="0" fontId="25" numFmtId="164" xfId="0" applyAlignment="1" applyBorder="1" applyFont="1" applyNumberFormat="1">
      <alignment horizontal="center"/>
    </xf>
    <xf borderId="1" fillId="12" fontId="17" numFmtId="164" xfId="0" applyAlignment="1" applyBorder="1" applyFill="1" applyFont="1" applyNumberFormat="1">
      <alignment horizontal="center"/>
    </xf>
    <xf borderId="30" fillId="0" fontId="14" numFmtId="0" xfId="0" applyBorder="1" applyFont="1"/>
    <xf borderId="1" fillId="0" fontId="17" numFmtId="9" xfId="0" applyAlignment="1" applyBorder="1" applyFont="1" applyNumberFormat="1">
      <alignment horizontal="center"/>
    </xf>
    <xf borderId="17" fillId="7" fontId="25" numFmtId="0" xfId="0" applyAlignment="1" applyBorder="1" applyFill="1" applyFont="1">
      <alignment horizontal="center"/>
    </xf>
    <xf borderId="1" fillId="7" fontId="25" numFmtId="165" xfId="0" applyAlignment="1" applyBorder="1" applyFill="1" applyFont="1" applyNumberFormat="1">
      <alignment horizontal="center"/>
    </xf>
    <xf borderId="1" fillId="7" fontId="25" numFmtId="9" xfId="0" applyAlignment="1" applyBorder="1" applyFill="1" applyFont="1" applyNumberFormat="1">
      <alignment horizontal="center"/>
    </xf>
    <xf borderId="1" fillId="7" fontId="25" numFmtId="164" xfId="0" applyAlignment="1" applyBorder="1" applyFill="1" applyFont="1" applyNumberFormat="1">
      <alignment horizontal="center"/>
    </xf>
    <xf borderId="1" fillId="7" fontId="17" numFmtId="164" xfId="0" applyAlignment="1" applyBorder="1" applyFill="1" applyFont="1" applyNumberFormat="1">
      <alignment horizontal="center"/>
    </xf>
    <xf borderId="1" fillId="7" fontId="17" numFmtId="9" xfId="0" applyAlignment="1" applyBorder="1" applyFill="1" applyFont="1" applyNumberFormat="1">
      <alignment horizontal="center"/>
    </xf>
    <xf borderId="1" fillId="3" fontId="17" numFmtId="165" xfId="0" applyAlignment="1" applyBorder="1" applyFill="1" applyFont="1" applyNumberFormat="1">
      <alignment horizontal="center"/>
    </xf>
    <xf borderId="1" fillId="13" fontId="17" numFmtId="9" xfId="0" applyAlignment="1" applyBorder="1" applyFill="1" applyFont="1" applyNumberFormat="1">
      <alignment horizontal="center"/>
    </xf>
    <xf borderId="1" fillId="10" fontId="17" numFmtId="9" xfId="0" applyAlignment="1" applyBorder="1" applyFill="1" applyFont="1" applyNumberFormat="1">
      <alignment horizontal="center"/>
    </xf>
    <xf borderId="1" fillId="11" fontId="17" numFmtId="9" xfId="0" applyAlignment="1" applyBorder="1" applyFill="1" applyFont="1" applyNumberFormat="1">
      <alignment horizontal="center"/>
    </xf>
    <xf borderId="0" fillId="0" fontId="5" numFmtId="0" xfId="0" applyFont="1"/>
    <xf borderId="0" fillId="0" fontId="26" numFmtId="0" xfId="0" applyFont="1"/>
    <xf borderId="0" fillId="0" fontId="5" numFmtId="0" xfId="0" applyAlignment="1" applyFont="1">
      <alignment horizontal="left"/>
    </xf>
    <xf borderId="0" fillId="0" fontId="5" numFmtId="165" xfId="0" applyFont="1" applyNumberFormat="1"/>
    <xf borderId="0" fillId="0" fontId="5" numFmtId="9" xfId="0" applyFont="1" applyNumberFormat="1"/>
    <xf borderId="1" fillId="0" fontId="25" numFmtId="0" xfId="0" applyAlignment="1" applyBorder="1" applyFont="1">
      <alignment horizontal="center" vertical="center"/>
    </xf>
    <xf borderId="18" fillId="0" fontId="25" numFmtId="0" xfId="0" applyAlignment="1" applyBorder="1" applyFont="1">
      <alignment horizontal="center"/>
    </xf>
    <xf borderId="27" fillId="7" fontId="25" numFmtId="0" xfId="0" applyAlignment="1" applyBorder="1" applyFill="1" applyFont="1">
      <alignment horizontal="center"/>
    </xf>
    <xf borderId="27" fillId="7" fontId="25" numFmtId="164" xfId="0" applyAlignment="1" applyBorder="1" applyFill="1" applyFont="1" applyNumberFormat="1">
      <alignment horizontal="center"/>
    </xf>
    <xf borderId="0" fillId="0" fontId="5" numFmtId="181" xfId="0" applyFont="1" applyNumberFormat="1"/>
    <xf borderId="0" fillId="0" fontId="5" numFmtId="179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29.xml"/><Relationship Id="rId4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3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2.xml"/><Relationship Id="rId34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25.xml"/><Relationship Id="rId20" Type="http://schemas.openxmlformats.org/officeDocument/2006/relationships/externalLink" Target="externalLinks/externalLink7.xml"/><Relationship Id="rId22" Type="http://schemas.openxmlformats.org/officeDocument/2006/relationships/externalLink" Target="externalLinks/externalLink9.xml"/><Relationship Id="rId2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16.xml"/><Relationship Id="rId51" Type="http://customschemas.google.com/relationships/workbookmetadata" Target="metadata"/><Relationship Id="rId5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7" Type="http://schemas.openxmlformats.org/officeDocument/2006/relationships/externalLink" Target="externalLinks/externalLink4.xml"/><Relationship Id="rId16" Type="http://schemas.openxmlformats.org/officeDocument/2006/relationships/externalLink" Target="externalLinks/externalLink3.xml"/><Relationship Id="rId19" Type="http://schemas.openxmlformats.org/officeDocument/2006/relationships/externalLink" Target="externalLinks/externalLink6.xml"/><Relationship Id="rId18" Type="http://schemas.openxmlformats.org/officeDocument/2006/relationships/externalLink" Target="externalLinks/externalLink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70</xdr:row>
      <xdr:rowOff>0</xdr:rowOff>
    </xdr:from>
    <xdr:ext cx="0" cy="1104900"/>
    <xdr:pic>
      <xdr:nvPicPr>
        <xdr:cNvPr descr="2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70</xdr:row>
      <xdr:rowOff>0</xdr:rowOff>
    </xdr:from>
    <xdr:ext cx="0" cy="1104900"/>
    <xdr:pic>
      <xdr:nvPicPr>
        <xdr:cNvPr descr="2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0" cy="1114425"/>
    <xdr:pic>
      <xdr:nvPicPr>
        <xdr:cNvPr descr="2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</xdr:row>
      <xdr:rowOff>209550</xdr:rowOff>
    </xdr:from>
    <xdr:ext cx="1466850" cy="428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1390650</xdr:colOff>
      <xdr:row>27</xdr:row>
      <xdr:rowOff>114300</xdr:rowOff>
    </xdr:from>
    <xdr:ext cx="4019550" cy="22479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1</xdr:row>
      <xdr:rowOff>190500</xdr:rowOff>
    </xdr:from>
    <xdr:ext cx="1362075" cy="638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2</xdr:row>
      <xdr:rowOff>0</xdr:rowOff>
    </xdr:from>
    <xdr:ext cx="1095375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2</xdr:row>
      <xdr:rowOff>0</xdr:rowOff>
    </xdr:from>
    <xdr:ext cx="1095375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windows\TEMP\SEAGRAM\CHIVAS\Chivas98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windows\TEMP\KARIM\NEG_O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ant.amazon.com/dept/Dept/Documents%20and%20Settings/pablo/Local%20Settings/Temporary%20Internet%20Files/OLKE/216530_3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nt.amazon.com\dept\Dept\Documents%20and%20Settings\pablo\Local%20Settings\Temporary%20Internet%20Files\OLKE\216530_3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ant.amazon.com/dept/Dept/Documents%20and%20Settings/pablo/Local%20Settings/Temporary%20Internet%20Files/OLKE/218593_1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nt.amazon.com\dept\Dept\Documents%20and%20Settings\pablo\Local%20Settings\Temporary%20Internet%20Files\OLKE\218593_1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ant.amazon.com/dept/dept/dept/dept/Dept/Documents%20and%20Settings/pablo/Local%20Settings/Temporary%20Internet%20Files/OLKE/216530_3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nt.amazon.com\dept\dept\dept\dept\Dept\Documents%20and%20Settings\pablo\Local%20Settings\Temporary%20Internet%20Files\OLKE\216530_3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ant.amazon.com/dept/dept/dept/dept/Dept/Documents%20and%20Settings/pablo/Local%20Settings/Temporary%20Internet%20Files/OLKE/209500_4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nt.amazon.com\dept\dept\dept\dept\Dept\Documents%20and%20Settings\pablo\Local%20Settings\Temporary%20Internet%20Files\OLKE\209500_4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ant.amazon.com/dept/dept/dept/dept/Dept/Documents%20and%20Settings/pablo/Local%20Settings/Temporary%20Internet%20Files/OLKE/218593_1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nt.amazon.com\dept\dept\dept\dept\Dept\Documents%20and%20Settings\pablo\Local%20Settings\Temporary%20Internet%20Files\OLKE\218593_1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ant.amazon.com/dept/dept/dept/dept/Dept/Documents%20and%20Settings/pablo/Local%20Settings/Temporary%20Internet%20Files/OLKE/216530_1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nt.amazon.com\dept\dept\dept\dept\Dept\Documents%20and%20Settings\pablo\Local%20Settings\Temporary%20Internet%20Files\OLKE\216530_1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windows\TEMP\BIGINI96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M:\S:\Documents%20and%20Settings\ghageali\Local%20Settings\Temporary%20Internet%20Files\Content.Outlook\LC97VIZ8\Starcom-%20Roaming-%20International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192.168.176.219/UM_Dataspace/DOCUME~1/PLANNE~1/LOCALS~1/Temp/Buying%20brief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192.168.176.219\UM_Dataspace\DOCUME~1\PLANNE~1\LOCALS~1\Temp\Buying%20brief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192.168.176.219/UM_Dataspace/Users/skanj/AppData/Local/Microsoft/Windows/Temporary%20Internet%20Files/Content.Outlook/IH9AN74B/002-%20Mobility%20Prepaid%20Revamp%20-%20MP#17CBU - COST.XLSX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192.168.176.219\UM_Dataspace\Users\skanj\AppData\Local\Microsoft\Windows\Temporary%20Internet%20Files\Content.Outlook\IH9AN74B\002-%20Mobility%20Prepaid%20Revamp%20-%20MP%2317CBU%20-%20COST.XLSX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192.168.176.219/UM_Dataspace/Users/gchouity.LB-JED-NT-DOM/AppData/Local/Microsoft/Windows/Temporary%20Internet%20Files/Content.Outlook/RE9Z3OR8/Sawa%20Promotion%20-%20Traffic%20Media%20Plan.xlsx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192.168.176.219\UM_Dataspace\Users\gchouity.LB-JED-NT-DOM\AppData\Local\Microsoft\Windows\Temporary%20Internet%20Files\Content.Outlook\RE9Z3OR8\Sawa%20Promotion%20-%20Traffic%20Media%20Plan.xlsx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192.168.176.219/UM_Dataspace/Users/MEDIA/CAMPAIGN/UNILEVER/CCP/SCOPE/Data/PhaseForms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192.168.176.219\UM_Dataspace\Users\MEDIA\CAMPAIGN\UNILEVER\CCP\SCOPE\Data\PhaseForms.xls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M:\J:\WINDOWS\TEMP\CCS99H1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Users/Muzammil.Hamza/AppData/Local/Microsoft/Windows/Temporary%20Internet%20Files/Content.Outlook/5W1KQ12D/Redtag_Oct%2012.2015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Muzammil.Hamza\AppData\Local\Microsoft\Windows\Temporary%20Internet%20Files\Content.Outlook\5W1KQ12D\Redtag_Oct%2012.2015.xlsx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nterpublic.sharepoint.com/192.168.176.219/UM_Dataspace/Users/Zsukkarieh/AppData/Local/Microsoft/Windows/Temporary%20Internet%20Files/Content.Outlook/UCSM2FA4/STC%20Yahoo!%20Maktoob%20Proposal.xlsx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192.168.176.219\UM_Dataspace\Users\Zsukkarieh\AppData\Local\Microsoft\Windows\Temporary%20Internet%20Files\Content.Outlook\UCSM2FA4\STC%20Yahoo!%20Maktoob%20Proposal.xlsx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M:\X:\Users\Owner\AppData\Local\Temp\rfvhyjtz.tmp\Starcom-%20Roaming-%20International.xlsx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N:\Ghayath\Investcom\Yearly%20Plan.xls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Master%20Foods\Galaxy%20Block\2001\Plans\Galaxy2001-%2018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Master%20Foods\abu%20Siouf\2001\Plans\Abou%20Siouf2001-9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M:\S:\WINDOWS\TEMP\CCS99H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uzammil.Hamza/AppData/Local/Microsoft/Windows/Temporary%20Internet%20Files/Content.Outlook/5W1KQ12D/Redtag_Oct%2012.2015.xlsx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RFP/Techinical%20Proposal_UM_Media%20Buy%20AC27_MSA-010-2026-%20Annual%20Media%20Pla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menti"/>
      <sheetName val="riassuntivo soldi+grp"/>
      <sheetName val="riepilogo"/>
      <sheetName val="orario"/>
      <sheetName val="secondaggio"/>
      <sheetName val="Contenuto ed."/>
      <sheetName val="profili"/>
      <sheetName val="Banner Dimensions"/>
      <sheetName val="Hasar Hattı"/>
      <sheetName val="Tracker_Plan"/>
      <sheetName val="Sheet2"/>
      <sheetName val="Buying Model"/>
      <sheetName val="Sheet3"/>
      <sheetName val="riassuntivo_soldi+grp"/>
      <sheetName val="Contenuto_ed_"/>
      <sheetName val="Banner_Dimensions"/>
      <sheetName val="Hasar_Hattı"/>
      <sheetName val="Sheet1"/>
      <sheetName val="山西"/>
      <sheetName val="杭州调"/>
      <sheetName val="Local TV Sept"/>
      <sheetName val="报价单"/>
      <sheetName val="制作费"/>
      <sheetName val="自动报价"/>
      <sheetName val="媒体"/>
      <sheetName val="BJ"/>
      <sheetName val="Constants"/>
      <sheetName val="SnZ"/>
      <sheetName val="TEMP"/>
      <sheetName val="Chivas98.xls"/>
      <sheetName val="Chivas98"/>
      <sheetName val="MR Bank"/>
      <sheetName val="format"/>
      <sheetName val="PRC-TV (0)"/>
      <sheetName val="March to Ma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DL-1"/>
      <sheetName val="Sheet2"/>
      <sheetName val="MDL-2"/>
      <sheetName val="MDL-2 (2)"/>
      <sheetName val="GRP station"/>
      <sheetName val="Figures"/>
      <sheetName val="Budget"/>
      <sheetName val="Figures (2)"/>
      <sheetName val="MDL_1"/>
      <sheetName val="GCC Online"/>
      <sheetName val="MDL-2_(2)"/>
      <sheetName val="GRP_station"/>
      <sheetName val="Figures_(2)"/>
      <sheetName val="MDL-2_(2)1"/>
      <sheetName val="GRP_station1"/>
      <sheetName val="Figures_(2)1"/>
      <sheetName val="GCC_Online"/>
      <sheetName val="Sheet3"/>
      <sheetName val="Sheet1"/>
      <sheetName val="MDL-2_(2)2"/>
      <sheetName val="GRP_station2"/>
      <sheetName val="Figures_(2)2"/>
      <sheetName val="GCC_Online1"/>
      <sheetName val="Do Not Delete"/>
      <sheetName val="dropdowns"/>
      <sheetName val="field list"/>
      <sheetName val="InputSheet"/>
      <sheetName val="Summary"/>
      <sheetName val="Digital KSA"/>
      <sheetName val="Cost Quotation"/>
      <sheetName val="Social"/>
      <sheetName val="Programmatic"/>
      <sheetName val="Anghami"/>
      <sheetName val="OOH"/>
      <sheetName val="MDL-2_(2)4"/>
      <sheetName val="GRP_station4"/>
      <sheetName val="Figures_(2)4"/>
      <sheetName val="GCC_Online3"/>
      <sheetName val="field_list1"/>
      <sheetName val="Do_Not_Delete1"/>
      <sheetName val="MDL-2_(2)3"/>
      <sheetName val="GRP_station3"/>
      <sheetName val="Figures_(2)3"/>
      <sheetName val="GCC_Online2"/>
      <sheetName val="field_list"/>
      <sheetName val="Do_Not_Delete"/>
      <sheetName val="MDL-2_(2)10"/>
      <sheetName val="GRP_station10"/>
      <sheetName val="Figures_(2)10"/>
      <sheetName val="GCC_Online9"/>
      <sheetName val="field_list7"/>
      <sheetName val="Do_Not_Delete7"/>
      <sheetName val="MDL-2_(2)6"/>
      <sheetName val="GRP_station6"/>
      <sheetName val="Figures_(2)6"/>
      <sheetName val="GCC_Online5"/>
      <sheetName val="field_list3"/>
      <sheetName val="Do_Not_Delete3"/>
      <sheetName val="MDL-2_(2)5"/>
      <sheetName val="GRP_station5"/>
      <sheetName val="Figures_(2)5"/>
      <sheetName val="GCC_Online4"/>
      <sheetName val="field_list2"/>
      <sheetName val="Do_Not_Delete2"/>
      <sheetName val="MDL-2_(2)9"/>
      <sheetName val="GRP_station9"/>
      <sheetName val="Figures_(2)9"/>
      <sheetName val="GCC_Online8"/>
      <sheetName val="field_list6"/>
      <sheetName val="Do_Not_Delete6"/>
      <sheetName val="MDL-2_(2)7"/>
      <sheetName val="GRP_station7"/>
      <sheetName val="Figures_(2)7"/>
      <sheetName val="GCC_Online6"/>
      <sheetName val="field_list4"/>
      <sheetName val="Do_Not_Delete4"/>
      <sheetName val="MDL-2_(2)8"/>
      <sheetName val="GRP_station8"/>
      <sheetName val="Figures_(2)8"/>
      <sheetName val="GCC_Online7"/>
      <sheetName val="field_list5"/>
      <sheetName val="Do_Not_Delete5"/>
      <sheetName val="MDL-2_(2)11"/>
      <sheetName val="GRP_station11"/>
      <sheetName val="Figures_(2)11"/>
      <sheetName val="GCC_Online10"/>
      <sheetName val="field_list8"/>
      <sheetName val="Do_Not_Delete8"/>
      <sheetName val="MDL-2_(2)12"/>
      <sheetName val="GRP_station12"/>
      <sheetName val="Figures_(2)12"/>
      <sheetName val="GCC_Online11"/>
      <sheetName val="field_list9"/>
      <sheetName val="Do_Not_Delete9"/>
      <sheetName val="MDL-2_(2)13"/>
      <sheetName val="GRP_station13"/>
      <sheetName val="Figures_(2)13"/>
      <sheetName val="GCC_Online12"/>
      <sheetName val="field_list10"/>
      <sheetName val="Do_Not_Delete10"/>
      <sheetName val="MDL-2_(2)14"/>
      <sheetName val="GRP_station14"/>
      <sheetName val="Figures_(2)14"/>
      <sheetName val="GCC_Online13"/>
      <sheetName val="field_list11"/>
      <sheetName val="Do_Not_Delete11"/>
      <sheetName val="Suppliers"/>
      <sheetName val="Options"/>
      <sheetName val="MDL-2_(2)17"/>
      <sheetName val="GRP_station17"/>
      <sheetName val="Figures_(2)17"/>
      <sheetName val="GCC_Online16"/>
      <sheetName val="field_list14"/>
      <sheetName val="Do_Not_Delete14"/>
      <sheetName val="MDL-2_(2)15"/>
      <sheetName val="GRP_station15"/>
      <sheetName val="Figures_(2)15"/>
      <sheetName val="GCC_Online14"/>
      <sheetName val="field_list12"/>
      <sheetName val="Do_Not_Delete12"/>
      <sheetName val="MDL-2_(2)16"/>
      <sheetName val="GRP_station16"/>
      <sheetName val="Figures_(2)16"/>
      <sheetName val="GCC_Online15"/>
      <sheetName val="field_list13"/>
      <sheetName val="Do_Not_Delete13"/>
      <sheetName val="TV Detailed Plan"/>
      <sheetName val="MALIMBE"/>
      <sheetName val="MDL-2_(2)19"/>
      <sheetName val="GRP_station19"/>
      <sheetName val="Figures_(2)19"/>
      <sheetName val="GCC_Online18"/>
      <sheetName val="field_list16"/>
      <sheetName val="Do_Not_Delete16"/>
      <sheetName val="MDL-2_(2)18"/>
      <sheetName val="GRP_station18"/>
      <sheetName val="Figures_(2)18"/>
      <sheetName val="GCC_Online17"/>
      <sheetName val="field_list15"/>
      <sheetName val="Do_Not_Delete15"/>
      <sheetName val="Oveview &amp; Definitions"/>
      <sheetName val="NEG_O"/>
      <sheetName val="MDL-2_(2)20"/>
      <sheetName val="GRP_station20"/>
      <sheetName val="Figures_(2)20"/>
      <sheetName val="GCC_Online19"/>
      <sheetName val="Do_Not_Delete17"/>
      <sheetName val="field_list17"/>
      <sheetName val="Digital_KSA"/>
      <sheetName val="Cost_Quotation"/>
      <sheetName val="TV_Detailed_Plan"/>
      <sheetName val="MDL-2_(2)22"/>
      <sheetName val="GRP_station22"/>
      <sheetName val="Figures_(2)22"/>
      <sheetName val="GCC_Online21"/>
      <sheetName val="Do_Not_Delete19"/>
      <sheetName val="field_list19"/>
      <sheetName val="Digital_KSA2"/>
      <sheetName val="Cost_Quotation2"/>
      <sheetName val="TV_Detailed_Plan2"/>
      <sheetName val="MDL-2_(2)21"/>
      <sheetName val="GRP_station21"/>
      <sheetName val="Figures_(2)21"/>
      <sheetName val="GCC_Online20"/>
      <sheetName val="Do_Not_Delete18"/>
      <sheetName val="field_list18"/>
      <sheetName val="Digital_KSA1"/>
      <sheetName val="Cost_Quotation1"/>
      <sheetName val="TV_Detailed_Plan1"/>
      <sheetName val="MDL-2_(2)25"/>
      <sheetName val="GRP_station25"/>
      <sheetName val="Figures_(2)25"/>
      <sheetName val="GCC_Online24"/>
      <sheetName val="Do_Not_Delete22"/>
      <sheetName val="field_list22"/>
      <sheetName val="Digital_KSA5"/>
      <sheetName val="Cost_Quotation5"/>
      <sheetName val="TV_Detailed_Plan5"/>
      <sheetName val="MDL-2_(2)24"/>
      <sheetName val="GRP_station24"/>
      <sheetName val="Figures_(2)24"/>
      <sheetName val="GCC_Online23"/>
      <sheetName val="Do_Not_Delete21"/>
      <sheetName val="field_list21"/>
      <sheetName val="Digital_KSA4"/>
      <sheetName val="Cost_Quotation4"/>
      <sheetName val="TV_Detailed_Plan4"/>
      <sheetName val="MDL-2_(2)23"/>
      <sheetName val="GRP_station23"/>
      <sheetName val="Figures_(2)23"/>
      <sheetName val="GCC_Online22"/>
      <sheetName val="Do_Not_Delete20"/>
      <sheetName val="field_list20"/>
      <sheetName val="Digital_KSA3"/>
      <sheetName val="Cost_Quotation3"/>
      <sheetName val="TV_Detailed_Plan3"/>
      <sheetName val="Oveview_&amp;_Definitions"/>
      <sheetName val="Oveview_&amp;_Definitions1"/>
      <sheetName val="Oveview_&amp;_Definitions2"/>
      <sheetName val="Offerta Tv in Italia"/>
      <sheetName val="MDL-2_(2)26"/>
      <sheetName val="GRP_station26"/>
      <sheetName val="Figures_(2)26"/>
      <sheetName val="GCC_Online25"/>
      <sheetName val="field_list23"/>
      <sheetName val="Do_Not_Delete23"/>
      <sheetName val="MDL-2_(2)27"/>
      <sheetName val="GRP_station27"/>
      <sheetName val="Figures_(2)27"/>
      <sheetName val="GCC_Online26"/>
      <sheetName val="field_list24"/>
      <sheetName val="Do_Not_Delete24"/>
      <sheetName val="Cost_Quotation6"/>
      <sheetName val="Digital_KSA6"/>
      <sheetName val="2.대외공문"/>
      <sheetName val="MDL-2_(2)28"/>
      <sheetName val="GRP_station28"/>
      <sheetName val="Figures_(2)28"/>
      <sheetName val="GCC_Online27"/>
      <sheetName val="Do_Not_Delete25"/>
      <sheetName val="field_list25"/>
      <sheetName val="Digital_KSA7"/>
      <sheetName val="Cost_Quotation7"/>
      <sheetName val="TV_Detailed_Plan6"/>
      <sheetName val="Oveview_&amp;_Definitions3"/>
      <sheetName val="Offerta_Tv_in_Italia"/>
      <sheetName val="2_대외공문"/>
      <sheetName val="MDL-2_(2)29"/>
      <sheetName val="GRP_station29"/>
      <sheetName val="Figures_(2)29"/>
      <sheetName val="GCC_Online28"/>
      <sheetName val="Do_Not_Delete26"/>
      <sheetName val="field_list26"/>
      <sheetName val="Digital_KSA8"/>
      <sheetName val="Cost_Quotation8"/>
      <sheetName val="TV_Detailed_Plan7"/>
      <sheetName val="Oveview_&amp;_Definitions4"/>
      <sheetName val="Offerta_Tv_in_Italia1"/>
      <sheetName val="2_대외공문1"/>
      <sheetName val="MDL-2_(2)30"/>
      <sheetName val="GRP_station30"/>
      <sheetName val="Figures_(2)30"/>
      <sheetName val="GCC_Online29"/>
      <sheetName val="Do_Not_Delete27"/>
      <sheetName val="field_list27"/>
      <sheetName val="Digital_KSA9"/>
      <sheetName val="Cost_Quotation9"/>
      <sheetName val="TV_Detailed_Plan8"/>
      <sheetName val="Oveview_&amp;_Definitions5"/>
      <sheetName val="Offerta_Tv_in_Italia2"/>
      <sheetName val="2_대외공문2"/>
      <sheetName val="MDL-2_(2)31"/>
      <sheetName val="GRP_station31"/>
      <sheetName val="Figures_(2)31"/>
      <sheetName val="GCC_Online30"/>
      <sheetName val="Do_Not_Delete28"/>
      <sheetName val="field_list28"/>
      <sheetName val="Digital_KSA10"/>
      <sheetName val="Cost_Quotation10"/>
      <sheetName val="TV_Detailed_Plan9"/>
      <sheetName val="Oveview_&amp;_Definitions6"/>
      <sheetName val="Offerta_Tv_in_Italia3"/>
      <sheetName val="2_대외공문3"/>
      <sheetName val="MDL-2_(2)32"/>
      <sheetName val="GRP_station32"/>
      <sheetName val="Figures_(2)32"/>
      <sheetName val="GCC_Online31"/>
      <sheetName val="Do_Not_Delete29"/>
      <sheetName val="field_list29"/>
      <sheetName val="Digital_KSA11"/>
      <sheetName val="Cost_Quotation11"/>
      <sheetName val="TV_Detailed_Plan10"/>
      <sheetName val="Oveview_&amp;_Definitions7"/>
      <sheetName val="Offerta_Tv_in_Italia4"/>
      <sheetName val="2_대외공문4"/>
      <sheetName val="Specs_CNN.com"/>
      <sheetName val="08"/>
      <sheetName val="Pivot"/>
      <sheetName val="Constants"/>
      <sheetName val="SM2-MS2 leavers"/>
      <sheetName val="D"/>
      <sheetName val="TV Master Summary 2in1"/>
      <sheetName val="SM2-MS2_leavers"/>
      <sheetName val="目录"/>
      <sheetName val="SM2-MS2_leavers1"/>
      <sheetName val="SGH-M100"/>
      <sheetName val="Plant assumptions"/>
      <sheetName val="PROD°"/>
      <sheetName val="Cover"/>
      <sheetName val="Equip"/>
      <sheetName val="Cast-Pre"/>
      <sheetName val="Loc-Cat"/>
      <sheetName val="Crew"/>
      <sheetName val="Rec-S&amp;S"/>
      <sheetName val="Cam"/>
      <sheetName val="Post"/>
      <sheetName val="Trans-Sto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P Graphs"/>
      <sheetName val="WC"/>
      <sheetName val="Inventory"/>
      <sheetName val="Customers"/>
      <sheetName val="SGA Graph"/>
      <sheetName val="MP Graphs DO NOT USe"/>
      <sheetName val="Bridge"/>
      <sheetName val="Income Summary"/>
      <sheetName val="Comparison Yearly"/>
      <sheetName val="Comparison 2004"/>
      <sheetName val="Comparison 2005"/>
      <sheetName val="Variance"/>
      <sheetName val="Comparison 04"/>
      <sheetName val="Retail-Whole"/>
      <sheetName val="Growth by Category"/>
      <sheetName val="Performance Graphs"/>
      <sheetName val="CAGRs"/>
      <sheetName val="List"/>
      <sheetName val="Mappings"/>
      <sheetName val="FX"/>
      <sheetName val="Inputs"/>
      <sheetName val="LOOKUP"/>
      <sheetName val="PL-list"/>
      <sheetName val="MAPPING"/>
      <sheetName val="Constant"/>
      <sheetName val="USD"/>
      <sheetName val="Notes"/>
      <sheetName val="control"/>
      <sheetName val="Gross Margin Lookups"/>
      <sheetName val="List (Finance)"/>
      <sheetName val="IB forecast"/>
      <sheetName val="Lists"/>
      <sheetName val="Month"/>
      <sheetName val="GL List"/>
      <sheetName val="DO NOT DELETE"/>
      <sheetName val="DO NOTE DELETE"/>
      <sheetName val="Admin"/>
      <sheetName val="GL PG"/>
      <sheetName val="MAP"/>
      <sheetName val="Master Data"/>
      <sheetName val="LOOKUP (2)"/>
      <sheetName val="Lookups"/>
      <sheetName val="Acct listing"/>
      <sheetName val="-&gt;"/>
      <sheetName val="Index"/>
      <sheetName val="Update"/>
      <sheetName val="Sheet12"/>
      <sheetName val="COGNOS"/>
      <sheetName val="How to"/>
      <sheetName val="Scenarios"/>
      <sheetName val="New Q3 Whiteboard"/>
      <sheetName val="Others"/>
      <sheetName val="Capex Summary by FC"/>
      <sheetName val="MP"/>
      <sheetName val="Data Val"/>
      <sheetName val="2015-2016 Volume By Month"/>
      <sheetName val="Summary"/>
      <sheetName val="ステータスリスト"/>
      <sheetName val="DD"/>
      <sheetName val="Lists_2"/>
      <sheetName val="List_validation"/>
      <sheetName val="Ref"/>
      <sheetName val="EDISON-2"/>
      <sheetName val="Controls"/>
      <sheetName val="DropDown"/>
      <sheetName val="Killer Table"/>
      <sheetName val="Killer_Table_Draft"/>
      <sheetName val="By Category"/>
      <sheetName val="By_GCID--&gt;"/>
      <sheetName val="by_gcid_final"/>
      <sheetName val="Consumables--&gt;"/>
      <sheetName val="Basics"/>
      <sheetName val="Pre_set"/>
      <sheetName val="有效值"/>
      <sheetName val="Global AdHoc Results"/>
      <sheetName val="Tables"/>
      <sheetName val="Source"/>
      <sheetName val="Monthly"/>
      <sheetName val="order_data"/>
      <sheetName val="Channels"/>
      <sheetName val="DE"/>
      <sheetName val="vendor"/>
      <sheetName val="Sheet4"/>
      <sheetName val="Lookup Page"/>
      <sheetName val="VALUES-don't open"/>
      <sheetName val="Z Ref"/>
      <sheetName val="Pull Set Up MX"/>
      <sheetName val="Retail &gt;&gt;"/>
      <sheetName val="Sheet1"/>
      <sheetName val="Account"/>
      <sheetName val="MERCH"/>
      <sheetName val="City List"/>
      <sheetName val="Display_Ads_Detail_Mth"/>
      <sheetName val="Revenue Summary - WW"/>
      <sheetName val="Comparative"/>
      <sheetName val="Actual vs Plan"/>
      <sheetName val="Key"/>
      <sheetName val="Date Ref"/>
      <sheetName val="Menu"/>
      <sheetName val="Fortune P&amp;L by Category Rates"/>
      <sheetName val="Options"/>
      <sheetName val="Maker List"/>
      <sheetName val="Data"/>
      <sheetName val="Definitions"/>
      <sheetName val="CLOSE"/>
      <sheetName val="216530_3"/>
      <sheetName val="WK18_No1"/>
      <sheetName val="SGA_Graph"/>
      <sheetName val="MP_Graphs_DO_NOT_USe"/>
      <sheetName val="Income_Summary"/>
      <sheetName val="Comparison_Yearly"/>
      <sheetName val="Comparison_2004"/>
      <sheetName val="Comparison_2005"/>
      <sheetName val="Comparison_04"/>
      <sheetName val="Growth_by_Category"/>
      <sheetName val="MP_Graphs"/>
      <sheetName val="Performance_Graphs"/>
      <sheetName val="GL_List"/>
      <sheetName val="Gross_Margin_Lookups"/>
      <sheetName val="GL_PG"/>
      <sheetName val="LOOKUP_(2)"/>
      <sheetName val="Master_Data"/>
      <sheetName val="How_to"/>
      <sheetName val="DO_NOT_DELETE"/>
      <sheetName val="DO_NOTE_DELETE"/>
      <sheetName val="New_Q3_Whiteboard"/>
      <sheetName val="Data_Val"/>
      <sheetName val="Capex_Summary_by_FC"/>
      <sheetName val="2015-2016_Volume_By_Month"/>
      <sheetName val="Acct_listing"/>
      <sheetName val="List_(Finance)"/>
      <sheetName val="IB_forecast"/>
      <sheetName val="VALUES-don't_open"/>
      <sheetName val="Global_AdHoc_Results"/>
      <sheetName val="Killer_Table"/>
      <sheetName val="By_Category"/>
      <sheetName val="Retail_&gt;&gt;"/>
      <sheetName val="Lookup_Page"/>
      <sheetName val="Z_Ref"/>
      <sheetName val="Pull_Set_Up_MX"/>
      <sheetName val="Revenue_Summary_-_WW"/>
      <sheetName val="(管理用)プルダウンリスト"/>
      <sheetName val="Maker_List"/>
      <sheetName val="Heirarchy"/>
      <sheetName val="Content Asset Expense"/>
      <sheetName val="SGA_Graph1"/>
      <sheetName val="MP_Graphs_DO_NOT_USe1"/>
      <sheetName val="Income_Summary1"/>
      <sheetName val="Comparison_Yearly1"/>
      <sheetName val="Comparison_20041"/>
      <sheetName val="Comparison_20051"/>
      <sheetName val="Comparison_041"/>
      <sheetName val="Growth_by_Category1"/>
      <sheetName val="MP_Graphs1"/>
      <sheetName val="Performance_Graphs1"/>
      <sheetName val="GL_List1"/>
      <sheetName val="Gross_Margin_Lookups1"/>
      <sheetName val="GL_PG1"/>
      <sheetName val="LOOKUP_(2)1"/>
      <sheetName val="Master_Data1"/>
      <sheetName val="How_to1"/>
      <sheetName val="DO_NOT_DELETE1"/>
      <sheetName val="DO_NOTE_DELETE1"/>
      <sheetName val="New_Q3_Whiteboard1"/>
      <sheetName val="Capex_Summary_by_FC1"/>
      <sheetName val="Data_Val1"/>
      <sheetName val="2015-2016_Volume_By_Month1"/>
      <sheetName val="Acct_listing1"/>
      <sheetName val="List_(Finance)1"/>
      <sheetName val="IB_forecast1"/>
      <sheetName val="Actual_vs_Plan"/>
      <sheetName val="City_List"/>
      <sheetName val="Date_Ref"/>
      <sheetName val="Fortune_P&amp;L_by_Category_Rates"/>
      <sheetName val="Master_List_ACES"/>
      <sheetName val="Master_List_SCT"/>
      <sheetName val="Content Asset Expense04"/>
      <sheetName val="SGA_Graph2"/>
      <sheetName val="MP_Graphs_DO_NOT_USe2"/>
      <sheetName val="Income_Summary2"/>
      <sheetName val="Comparison_Yearly2"/>
      <sheetName val="Comparison_20042"/>
      <sheetName val="Comparison_20052"/>
      <sheetName val="Comparison_042"/>
      <sheetName val="Growth_by_Category2"/>
      <sheetName val="MP_Graphs2"/>
      <sheetName val="Performance_Graphs2"/>
      <sheetName val="Gross_Margin_Lookups2"/>
      <sheetName val="DO_NOT_DELETE2"/>
      <sheetName val="DO_NOTE_DELETE2"/>
      <sheetName val="GL_PG2"/>
      <sheetName val="GL_List2"/>
      <sheetName val="LOOKUP_(2)2"/>
      <sheetName val="Master_Data2"/>
      <sheetName val="New_Q3_Whiteboard2"/>
      <sheetName val="Capex_Summary_by_FC2"/>
      <sheetName val="Data_Val2"/>
      <sheetName val="2015-2016_Volume_By_Month2"/>
      <sheetName val="Acct_listing2"/>
      <sheetName val="List_(Finance)2"/>
      <sheetName val="How_to2"/>
      <sheetName val="IB_forecast2"/>
      <sheetName val="Global_AdHoc_Results1"/>
      <sheetName val="Killer_Table1"/>
      <sheetName val="By_Category1"/>
      <sheetName val="Pull_Set_Up_MX1"/>
      <sheetName val="Lookup_Page1"/>
      <sheetName val="VALUES-don't_open1"/>
      <sheetName val="Z_Ref1"/>
      <sheetName val="Retail_&gt;&gt;1"/>
      <sheetName val="Actual_vs_Plan1"/>
      <sheetName val="Revenue_Summary_-_WW1"/>
      <sheetName val="City_List1"/>
      <sheetName val="Date_Ref1"/>
      <sheetName val="Fortune_P&amp;L_by_Category_Rates1"/>
      <sheetName val="Maker_List1"/>
      <sheetName val="Helper"/>
      <sheetName val="Feuil1"/>
      <sheetName val="Amort Trends Essbase"/>
      <sheetName val="IVSA"/>
      <sheetName val="GoBigP&amp;L_50K"/>
      <sheetName val="Driver_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 refreshError="1"/>
      <sheetData sheetId="46"/>
      <sheetData sheetId="47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 refreshError="1"/>
      <sheetData sheetId="60"/>
      <sheetData sheetId="6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P Graphs"/>
      <sheetName val="WC"/>
      <sheetName val="Inventory"/>
      <sheetName val="Customers"/>
      <sheetName val="SGA Graph"/>
      <sheetName val="MP Graphs DO NOT USe"/>
      <sheetName val="Bridge"/>
      <sheetName val="Income Summary"/>
      <sheetName val="Comparison Yearly"/>
      <sheetName val="Comparison 2004"/>
      <sheetName val="Comparison 2005"/>
      <sheetName val="Variance"/>
      <sheetName val="Comparison 04"/>
      <sheetName val="Retail-Whole"/>
      <sheetName val="Growth by Category"/>
      <sheetName val="Performance Graphs"/>
      <sheetName val="CAGRs"/>
      <sheetName val="List"/>
      <sheetName val="Mappings"/>
      <sheetName val="FX"/>
      <sheetName val="Inputs"/>
      <sheetName val="LOOKUP"/>
      <sheetName val="PL-list"/>
      <sheetName val="MAPPING"/>
      <sheetName val="Constant"/>
      <sheetName val="USD"/>
      <sheetName val="Notes"/>
      <sheetName val="control"/>
      <sheetName val="Gross Margin Lookups"/>
      <sheetName val="List (Finance)"/>
      <sheetName val="IB forecast"/>
      <sheetName val="Lists"/>
      <sheetName val="Month"/>
      <sheetName val="GL List"/>
      <sheetName val="DO NOT DELETE"/>
      <sheetName val="DO NOTE DELETE"/>
      <sheetName val="Admin"/>
      <sheetName val="GL PG"/>
      <sheetName val="MAP"/>
      <sheetName val="Master Data"/>
      <sheetName val="LOOKUP (2)"/>
      <sheetName val="Lookups"/>
      <sheetName val="Acct listing"/>
      <sheetName val="-&gt;"/>
      <sheetName val="Index"/>
      <sheetName val="Update"/>
      <sheetName val="Sheet12"/>
      <sheetName val="COGNOS"/>
      <sheetName val="How to"/>
      <sheetName val="Scenarios"/>
      <sheetName val="New Q3 Whiteboard"/>
      <sheetName val="Others"/>
      <sheetName val="Capex Summary by FC"/>
      <sheetName val="MP"/>
      <sheetName val="Data Val"/>
      <sheetName val="2015-2016 Volume By Month"/>
      <sheetName val="Summary"/>
      <sheetName val="ステータスリスト"/>
      <sheetName val="DD"/>
      <sheetName val="Lists_2"/>
      <sheetName val="List_validation"/>
      <sheetName val="Ref"/>
      <sheetName val="EDISON-2"/>
      <sheetName val="Controls"/>
      <sheetName val="DropDown"/>
      <sheetName val="Killer Table"/>
      <sheetName val="Killer_Table_Draft"/>
      <sheetName val="By Category"/>
      <sheetName val="By_GCID--&gt;"/>
      <sheetName val="by_gcid_final"/>
      <sheetName val="Consumables--&gt;"/>
      <sheetName val="Basics"/>
      <sheetName val="Pre_set"/>
      <sheetName val="有效值"/>
      <sheetName val="Global AdHoc Results"/>
      <sheetName val="Tables"/>
      <sheetName val="Source"/>
      <sheetName val="Monthly"/>
      <sheetName val="order_data"/>
      <sheetName val="Channels"/>
      <sheetName val="DE"/>
      <sheetName val="vendor"/>
      <sheetName val="Sheet4"/>
      <sheetName val="Lookup Page"/>
      <sheetName val="VALUES-don't open"/>
      <sheetName val="Z Ref"/>
      <sheetName val="Pull Set Up MX"/>
      <sheetName val="Retail &gt;&gt;"/>
      <sheetName val="Sheet1"/>
      <sheetName val="Account"/>
      <sheetName val="MERCH"/>
      <sheetName val="City List"/>
      <sheetName val="Display_Ads_Detail_Mth"/>
      <sheetName val="Revenue Summary - WW"/>
      <sheetName val="Comparative"/>
      <sheetName val="Actual vs Plan"/>
      <sheetName val="Key"/>
      <sheetName val="Date Ref"/>
      <sheetName val="Menu"/>
      <sheetName val="Fortune P&amp;L by Category Rates"/>
      <sheetName val="Options"/>
      <sheetName val="Maker List"/>
      <sheetName val="Data"/>
      <sheetName val="Definitions"/>
      <sheetName val="CLOSE"/>
      <sheetName val="216530_3"/>
      <sheetName val="WK18_No1"/>
      <sheetName val="SGA_Graph"/>
      <sheetName val="MP_Graphs_DO_NOT_USe"/>
      <sheetName val="Income_Summary"/>
      <sheetName val="Comparison_Yearly"/>
      <sheetName val="Comparison_2004"/>
      <sheetName val="Comparison_2005"/>
      <sheetName val="Comparison_04"/>
      <sheetName val="Growth_by_Category"/>
      <sheetName val="MP_Graphs"/>
      <sheetName val="Performance_Graphs"/>
      <sheetName val="GL_List"/>
      <sheetName val="Gross_Margin_Lookups"/>
      <sheetName val="GL_PG"/>
      <sheetName val="LOOKUP_(2)"/>
      <sheetName val="Master_Data"/>
      <sheetName val="How_to"/>
      <sheetName val="DO_NOT_DELETE"/>
      <sheetName val="DO_NOTE_DELETE"/>
      <sheetName val="New_Q3_Whiteboard"/>
      <sheetName val="Data_Val"/>
      <sheetName val="Capex_Summary_by_FC"/>
      <sheetName val="2015-2016_Volume_By_Month"/>
      <sheetName val="Acct_listing"/>
      <sheetName val="List_(Finance)"/>
      <sheetName val="IB_forecast"/>
      <sheetName val="VALUES-don't_open"/>
      <sheetName val="Global_AdHoc_Results"/>
      <sheetName val="Killer_Table"/>
      <sheetName val="By_Category"/>
      <sheetName val="Retail_&gt;&gt;"/>
      <sheetName val="Lookup_Page"/>
      <sheetName val="Z_Ref"/>
      <sheetName val="Pull_Set_Up_MX"/>
      <sheetName val="Revenue_Summary_-_WW"/>
      <sheetName val="(管理用)プルダウンリスト"/>
      <sheetName val="Maker_List"/>
      <sheetName val="Heirarchy"/>
      <sheetName val="Content Asset Expense"/>
      <sheetName val="SGA_Graph1"/>
      <sheetName val="MP_Graphs_DO_NOT_USe1"/>
      <sheetName val="Income_Summary1"/>
      <sheetName val="Comparison_Yearly1"/>
      <sheetName val="Comparison_20041"/>
      <sheetName val="Comparison_20051"/>
      <sheetName val="Comparison_041"/>
      <sheetName val="Growth_by_Category1"/>
      <sheetName val="MP_Graphs1"/>
      <sheetName val="Performance_Graphs1"/>
      <sheetName val="GL_List1"/>
      <sheetName val="Gross_Margin_Lookups1"/>
      <sheetName val="GL_PG1"/>
      <sheetName val="LOOKUP_(2)1"/>
      <sheetName val="Master_Data1"/>
      <sheetName val="How_to1"/>
      <sheetName val="DO_NOT_DELETE1"/>
      <sheetName val="DO_NOTE_DELETE1"/>
      <sheetName val="New_Q3_Whiteboard1"/>
      <sheetName val="Capex_Summary_by_FC1"/>
      <sheetName val="Data_Val1"/>
      <sheetName val="2015-2016_Volume_By_Month1"/>
      <sheetName val="Acct_listing1"/>
      <sheetName val="List_(Finance)1"/>
      <sheetName val="IB_forecast1"/>
      <sheetName val="Actual_vs_Plan"/>
      <sheetName val="City_List"/>
      <sheetName val="Date_Ref"/>
      <sheetName val="Fortune_P&amp;L_by_Category_Rates"/>
      <sheetName val="Master_List_ACES"/>
      <sheetName val="Master_List_SCT"/>
      <sheetName val="Content Asset Expense04"/>
      <sheetName val="SGA_Graph2"/>
      <sheetName val="MP_Graphs_DO_NOT_USe2"/>
      <sheetName val="Income_Summary2"/>
      <sheetName val="Comparison_Yearly2"/>
      <sheetName val="Comparison_20042"/>
      <sheetName val="Comparison_20052"/>
      <sheetName val="Comparison_042"/>
      <sheetName val="Growth_by_Category2"/>
      <sheetName val="MP_Graphs2"/>
      <sheetName val="Performance_Graphs2"/>
      <sheetName val="Gross_Margin_Lookups2"/>
      <sheetName val="DO_NOT_DELETE2"/>
      <sheetName val="DO_NOTE_DELETE2"/>
      <sheetName val="GL_PG2"/>
      <sheetName val="GL_List2"/>
      <sheetName val="LOOKUP_(2)2"/>
      <sheetName val="Master_Data2"/>
      <sheetName val="New_Q3_Whiteboard2"/>
      <sheetName val="Capex_Summary_by_FC2"/>
      <sheetName val="Data_Val2"/>
      <sheetName val="2015-2016_Volume_By_Month2"/>
      <sheetName val="Acct_listing2"/>
      <sheetName val="List_(Finance)2"/>
      <sheetName val="How_to2"/>
      <sheetName val="IB_forecast2"/>
      <sheetName val="Global_AdHoc_Results1"/>
      <sheetName val="Killer_Table1"/>
      <sheetName val="By_Category1"/>
      <sheetName val="Pull_Set_Up_MX1"/>
      <sheetName val="Lookup_Page1"/>
      <sheetName val="VALUES-don't_open1"/>
      <sheetName val="Z_Ref1"/>
      <sheetName val="Retail_&gt;&gt;1"/>
      <sheetName val="Actual_vs_Plan1"/>
      <sheetName val="Revenue_Summary_-_WW1"/>
      <sheetName val="City_List1"/>
      <sheetName val="Date_Ref1"/>
      <sheetName val="Fortune_P&amp;L_by_Category_Rates1"/>
      <sheetName val="Maker_List1"/>
      <sheetName val="Helper"/>
      <sheetName val="Feuil1"/>
      <sheetName val="Amort Trends Essbase"/>
      <sheetName val="IVSA"/>
      <sheetName val="GoBigP&amp;L_50K"/>
      <sheetName val="Driver_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 refreshError="1"/>
      <sheetData sheetId="46"/>
      <sheetData sheetId="47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 refreshError="1"/>
      <sheetData sheetId="60"/>
      <sheetData sheetId="6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raph by Product Type"/>
      <sheetName val="Graphs=&gt;"/>
      <sheetName val="Retail-Whole"/>
      <sheetName val="Sheet1 (2)"/>
      <sheetName val="&lt;=Data"/>
      <sheetName val="CIM"/>
      <sheetName val="Chart Data"/>
      <sheetName val="Upside Quarterly "/>
      <sheetName val="Upside vs. Base"/>
      <sheetName val="Base Quarterly"/>
      <sheetName val="Base Summary"/>
      <sheetName val="Val Sum"/>
      <sheetName val="Football"/>
      <sheetName val="CAGR"/>
      <sheetName val="Assumptions"/>
      <sheetName val="SGA"/>
      <sheetName val="Balance Summary"/>
      <sheetName val="CF Summary"/>
      <sheetName val="Income Summary"/>
      <sheetName val="SGA Graph"/>
      <sheetName val="Q1 05 Comparison for MP"/>
      <sheetName val="Analysis=&gt;"/>
      <sheetName val="LBO Output"/>
      <sheetName val="LBO Sensitivity"/>
      <sheetName val="CF"/>
      <sheetName val="Cap"/>
      <sheetName val="LBO"/>
      <sheetName val="DCF"/>
      <sheetName val="Comparison"/>
      <sheetName val="Other Revenue"/>
      <sheetName val="BUDG2004-Post CIM"/>
      <sheetName val="COVER"/>
      <sheetName val="TOC"/>
      <sheetName val="I. SUMMARY"/>
      <sheetName val="I.1 Graphs"/>
      <sheetName val="II. MODEL"/>
      <sheetName val="III.1 Revenue"/>
      <sheetName val="III.2 COGS"/>
      <sheetName val="III.3 Gross Margin"/>
      <sheetName val="III.4 SG&amp;A"/>
      <sheetName val="III.4a LEASE"/>
      <sheetName val="III. 5 CAPEX"/>
      <sheetName val="III.4 REVENUE - By DC"/>
      <sheetName val="FINAL BUDG2004 FINAL"/>
      <sheetName val="2004 YE Adjustments"/>
      <sheetName val="Comparison 2004 Actual"/>
      <sheetName val="Comparisons=&gt;"/>
      <sheetName val="Q1 05 Comparison by month"/>
      <sheetName val="December Comparison by Year"/>
      <sheetName val="December Comparison"/>
      <sheetName val="4Q Days"/>
      <sheetName val="4Q Comparison - Revenue"/>
      <sheetName val="4Q Comparison - COGS"/>
      <sheetName val="4Q Comparison - GM"/>
      <sheetName val="RAW-&gt;"/>
      <sheetName val="1Q 05 YTD"/>
      <sheetName val="1Q 04 YTD"/>
      <sheetName val="BUDGFINALX2004"/>
      <sheetName val="BUDG2004FINAL"/>
      <sheetName val="BUDG2004NEW2"/>
      <sheetName val="BUDG2004NEW"/>
      <sheetName val="ANNBUD2004"/>
      <sheetName val="2002Q"/>
      <sheetName val="2003-2004Q"/>
      <sheetName val="Rev by Prod"/>
      <sheetName val="Dec04"/>
      <sheetName val="Real Estate Leases"/>
      <sheetName val="Depr- Equip"/>
      <sheetName val="Depr - Office"/>
      <sheetName val="Depr - Vehicles"/>
      <sheetName val="MACRS"/>
      <sheetName val="November03"/>
      <sheetName val="October03"/>
      <sheetName val="November04"/>
      <sheetName val="October04"/>
      <sheetName val="List"/>
      <sheetName val="WC"/>
      <sheetName val="MP Graphs"/>
      <sheetName val="Lookup Page"/>
      <sheetName val="LOOKUP"/>
      <sheetName val="Inputs"/>
      <sheetName val="Control"/>
      <sheetName val="validationInfo"/>
      <sheetName val="Admin"/>
      <sheetName val="Lists"/>
      <sheetName val="Sheet1_(2)"/>
      <sheetName val="Graph_by_Product_Type"/>
      <sheetName val="Chart_Data"/>
      <sheetName val="Upside_Quarterly_"/>
      <sheetName val="Upside_vs__Base"/>
      <sheetName val="Base_Quarterly"/>
      <sheetName val="Base_Summary"/>
      <sheetName val="Val_Sum"/>
      <sheetName val="Balance_Summary"/>
      <sheetName val="CF_Summary"/>
      <sheetName val="Income_Summary"/>
      <sheetName val="SGA_Graph"/>
      <sheetName val="Q1_05_Comparison_for_MP"/>
      <sheetName val="LBO_Output"/>
      <sheetName val="LBO_Sensitivity"/>
      <sheetName val="Other_Revenue"/>
      <sheetName val="BUDG2004-Post_CIM"/>
      <sheetName val="I__SUMMARY"/>
      <sheetName val="I_1_Graphs"/>
      <sheetName val="II__MODEL"/>
      <sheetName val="III_1_Revenue"/>
      <sheetName val="III_2_COGS"/>
      <sheetName val="III_3_Gross_Margin"/>
      <sheetName val="III_4_SG&amp;A"/>
      <sheetName val="III_4a_LEASE"/>
      <sheetName val="III__5_CAPEX"/>
      <sheetName val="III_4_REVENUE_-_By_DC"/>
      <sheetName val="FINAL_BUDG2004_FINAL"/>
      <sheetName val="2004_YE_Adjustments"/>
      <sheetName val="Comparison_2004_Actual"/>
      <sheetName val="Q1_05_Comparison_by_month"/>
      <sheetName val="December_Comparison_by_Year"/>
      <sheetName val="December_Comparison"/>
      <sheetName val="4Q_Days"/>
      <sheetName val="4Q_Comparison_-_Revenue"/>
      <sheetName val="4Q_Comparison_-_COGS"/>
      <sheetName val="4Q_Comparison_-_GM"/>
      <sheetName val="1Q_05_YTD"/>
      <sheetName val="1Q_04_YTD"/>
      <sheetName val="Rev_by_Prod"/>
      <sheetName val="Real_Estate_Leases"/>
      <sheetName val="Depr-_Equip"/>
      <sheetName val="Depr_-_Office"/>
      <sheetName val="Depr_-_Vehicles"/>
      <sheetName val="MP_Graphs"/>
      <sheetName val="Lookup_Page"/>
      <sheetName val="Sheet1_(2)1"/>
      <sheetName val="Graph_by_Product_Type1"/>
      <sheetName val="Chart_Data1"/>
      <sheetName val="Upside_Quarterly_1"/>
      <sheetName val="Upside_vs__Base1"/>
      <sheetName val="Base_Quarterly1"/>
      <sheetName val="Base_Summary1"/>
      <sheetName val="Val_Sum1"/>
      <sheetName val="Balance_Summary1"/>
      <sheetName val="CF_Summary1"/>
      <sheetName val="Income_Summary1"/>
      <sheetName val="SGA_Graph1"/>
      <sheetName val="Q1_05_Comparison_for_MP1"/>
      <sheetName val="LBO_Output1"/>
      <sheetName val="LBO_Sensitivity1"/>
      <sheetName val="Other_Revenue1"/>
      <sheetName val="BUDG2004-Post_CIM1"/>
      <sheetName val="I__SUMMARY1"/>
      <sheetName val="I_1_Graphs1"/>
      <sheetName val="II__MODEL1"/>
      <sheetName val="III_1_Revenue1"/>
      <sheetName val="III_2_COGS1"/>
      <sheetName val="III_3_Gross_Margin1"/>
      <sheetName val="III_4_SG&amp;A1"/>
      <sheetName val="III_4a_LEASE1"/>
      <sheetName val="III__5_CAPEX1"/>
      <sheetName val="III_4_REVENUE_-_By_DC1"/>
      <sheetName val="FINAL_BUDG2004_FINAL1"/>
      <sheetName val="2004_YE_Adjustments1"/>
      <sheetName val="Comparison_2004_Actual1"/>
      <sheetName val="Q1_05_Comparison_by_month1"/>
      <sheetName val="December_Comparison_by_Year1"/>
      <sheetName val="December_Comparison1"/>
      <sheetName val="4Q_Days1"/>
      <sheetName val="4Q_Comparison_-_Revenue1"/>
      <sheetName val="4Q_Comparison_-_COGS1"/>
      <sheetName val="4Q_Comparison_-_GM1"/>
      <sheetName val="1Q_05_YTD1"/>
      <sheetName val="1Q_04_YTD1"/>
      <sheetName val="Rev_by_Prod1"/>
      <sheetName val="Real_Estate_Leases1"/>
      <sheetName val="Depr-_Equip1"/>
      <sheetName val="Depr_-_Office1"/>
      <sheetName val="Depr_-_Vehicles1"/>
      <sheetName val="MP_Graphs1"/>
      <sheetName val="Lookup_Page1"/>
      <sheetName val="Sheet1_(2)2"/>
      <sheetName val="Graph_by_Product_Type2"/>
      <sheetName val="Chart_Data2"/>
      <sheetName val="Upside_Quarterly_2"/>
      <sheetName val="Upside_vs__Base2"/>
      <sheetName val="Base_Quarterly2"/>
      <sheetName val="Base_Summary2"/>
      <sheetName val="Val_Sum2"/>
      <sheetName val="Balance_Summary2"/>
      <sheetName val="CF_Summary2"/>
      <sheetName val="Income_Summary2"/>
      <sheetName val="SGA_Graph2"/>
      <sheetName val="Q1_05_Comparison_for_MP2"/>
      <sheetName val="LBO_Output2"/>
      <sheetName val="LBO_Sensitivity2"/>
      <sheetName val="Other_Revenue2"/>
      <sheetName val="BUDG2004-Post_CIM2"/>
      <sheetName val="I__SUMMARY2"/>
      <sheetName val="I_1_Graphs2"/>
      <sheetName val="II__MODEL2"/>
      <sheetName val="III_1_Revenue2"/>
      <sheetName val="III_2_COGS2"/>
      <sheetName val="III_3_Gross_Margin2"/>
      <sheetName val="III_4_SG&amp;A2"/>
      <sheetName val="III_4a_LEASE2"/>
      <sheetName val="III__5_CAPEX2"/>
      <sheetName val="III_4_REVENUE_-_By_DC2"/>
      <sheetName val="FINAL_BUDG2004_FINAL2"/>
      <sheetName val="2004_YE_Adjustments2"/>
      <sheetName val="Comparison_2004_Actual2"/>
      <sheetName val="Q1_05_Comparison_by_month2"/>
      <sheetName val="December_Comparison_by_Year2"/>
      <sheetName val="December_Comparison2"/>
      <sheetName val="4Q_Days2"/>
      <sheetName val="4Q_Comparison_-_Revenue2"/>
      <sheetName val="4Q_Comparison_-_COGS2"/>
      <sheetName val="4Q_Comparison_-_GM2"/>
      <sheetName val="1Q_05_YTD2"/>
      <sheetName val="1Q_04_YTD2"/>
      <sheetName val="Rev_by_Prod2"/>
      <sheetName val="Real_Estate_Leases2"/>
      <sheetName val="Depr-_Equip2"/>
      <sheetName val="Depr_-_Office2"/>
      <sheetName val="Depr_-_Vehicles2"/>
      <sheetName val="MP_Graphs2"/>
      <sheetName val="Lookup_Page2"/>
      <sheetName val="Methodology_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raph by Product Type"/>
      <sheetName val="Graphs=&gt;"/>
      <sheetName val="Retail-Whole"/>
      <sheetName val="Sheet1 (2)"/>
      <sheetName val="&lt;=Data"/>
      <sheetName val="CIM"/>
      <sheetName val="Chart Data"/>
      <sheetName val="Upside Quarterly "/>
      <sheetName val="Upside vs. Base"/>
      <sheetName val="Base Quarterly"/>
      <sheetName val="Base Summary"/>
      <sheetName val="Val Sum"/>
      <sheetName val="Football"/>
      <sheetName val="CAGR"/>
      <sheetName val="Assumptions"/>
      <sheetName val="SGA"/>
      <sheetName val="Balance Summary"/>
      <sheetName val="CF Summary"/>
      <sheetName val="Income Summary"/>
      <sheetName val="SGA Graph"/>
      <sheetName val="Q1 05 Comparison for MP"/>
      <sheetName val="Analysis=&gt;"/>
      <sheetName val="LBO Output"/>
      <sheetName val="LBO Sensitivity"/>
      <sheetName val="CF"/>
      <sheetName val="Cap"/>
      <sheetName val="LBO"/>
      <sheetName val="DCF"/>
      <sheetName val="Comparison"/>
      <sheetName val="Other Revenue"/>
      <sheetName val="BUDG2004-Post CIM"/>
      <sheetName val="COVER"/>
      <sheetName val="TOC"/>
      <sheetName val="I. SUMMARY"/>
      <sheetName val="I.1 Graphs"/>
      <sheetName val="II. MODEL"/>
      <sheetName val="III.1 Revenue"/>
      <sheetName val="III.2 COGS"/>
      <sheetName val="III.3 Gross Margin"/>
      <sheetName val="III.4 SG&amp;A"/>
      <sheetName val="III.4a LEASE"/>
      <sheetName val="III. 5 CAPEX"/>
      <sheetName val="III.4 REVENUE - By DC"/>
      <sheetName val="FINAL BUDG2004 FINAL"/>
      <sheetName val="2004 YE Adjustments"/>
      <sheetName val="Comparison 2004 Actual"/>
      <sheetName val="Comparisons=&gt;"/>
      <sheetName val="Q1 05 Comparison by month"/>
      <sheetName val="December Comparison by Year"/>
      <sheetName val="December Comparison"/>
      <sheetName val="4Q Days"/>
      <sheetName val="4Q Comparison - Revenue"/>
      <sheetName val="4Q Comparison - COGS"/>
      <sheetName val="4Q Comparison - GM"/>
      <sheetName val="RAW-&gt;"/>
      <sheetName val="1Q 05 YTD"/>
      <sheetName val="1Q 04 YTD"/>
      <sheetName val="BUDGFINALX2004"/>
      <sheetName val="BUDG2004FINAL"/>
      <sheetName val="BUDG2004NEW2"/>
      <sheetName val="BUDG2004NEW"/>
      <sheetName val="ANNBUD2004"/>
      <sheetName val="2002Q"/>
      <sheetName val="2003-2004Q"/>
      <sheetName val="Rev by Prod"/>
      <sheetName val="Dec04"/>
      <sheetName val="Real Estate Leases"/>
      <sheetName val="Depr- Equip"/>
      <sheetName val="Depr - Office"/>
      <sheetName val="Depr - Vehicles"/>
      <sheetName val="MACRS"/>
      <sheetName val="November03"/>
      <sheetName val="October03"/>
      <sheetName val="November04"/>
      <sheetName val="October04"/>
      <sheetName val="List"/>
      <sheetName val="WC"/>
      <sheetName val="MP Graphs"/>
      <sheetName val="Lookup Page"/>
      <sheetName val="LOOKUP"/>
      <sheetName val="Inputs"/>
      <sheetName val="Control"/>
      <sheetName val="validationInfo"/>
      <sheetName val="Admin"/>
      <sheetName val="Lists"/>
      <sheetName val="Sheet1_(2)"/>
      <sheetName val="Graph_by_Product_Type"/>
      <sheetName val="Chart_Data"/>
      <sheetName val="Upside_Quarterly_"/>
      <sheetName val="Upside_vs__Base"/>
      <sheetName val="Base_Quarterly"/>
      <sheetName val="Base_Summary"/>
      <sheetName val="Val_Sum"/>
      <sheetName val="Balance_Summary"/>
      <sheetName val="CF_Summary"/>
      <sheetName val="Income_Summary"/>
      <sheetName val="SGA_Graph"/>
      <sheetName val="Q1_05_Comparison_for_MP"/>
      <sheetName val="LBO_Output"/>
      <sheetName val="LBO_Sensitivity"/>
      <sheetName val="Other_Revenue"/>
      <sheetName val="BUDG2004-Post_CIM"/>
      <sheetName val="I__SUMMARY"/>
      <sheetName val="I_1_Graphs"/>
      <sheetName val="II__MODEL"/>
      <sheetName val="III_1_Revenue"/>
      <sheetName val="III_2_COGS"/>
      <sheetName val="III_3_Gross_Margin"/>
      <sheetName val="III_4_SG&amp;A"/>
      <sheetName val="III_4a_LEASE"/>
      <sheetName val="III__5_CAPEX"/>
      <sheetName val="III_4_REVENUE_-_By_DC"/>
      <sheetName val="FINAL_BUDG2004_FINAL"/>
      <sheetName val="2004_YE_Adjustments"/>
      <sheetName val="Comparison_2004_Actual"/>
      <sheetName val="Q1_05_Comparison_by_month"/>
      <sheetName val="December_Comparison_by_Year"/>
      <sheetName val="December_Comparison"/>
      <sheetName val="4Q_Days"/>
      <sheetName val="4Q_Comparison_-_Revenue"/>
      <sheetName val="4Q_Comparison_-_COGS"/>
      <sheetName val="4Q_Comparison_-_GM"/>
      <sheetName val="1Q_05_YTD"/>
      <sheetName val="1Q_04_YTD"/>
      <sheetName val="Rev_by_Prod"/>
      <sheetName val="Real_Estate_Leases"/>
      <sheetName val="Depr-_Equip"/>
      <sheetName val="Depr_-_Office"/>
      <sheetName val="Depr_-_Vehicles"/>
      <sheetName val="MP_Graphs"/>
      <sheetName val="Lookup_Page"/>
      <sheetName val="Sheet1_(2)1"/>
      <sheetName val="Graph_by_Product_Type1"/>
      <sheetName val="Chart_Data1"/>
      <sheetName val="Upside_Quarterly_1"/>
      <sheetName val="Upside_vs__Base1"/>
      <sheetName val="Base_Quarterly1"/>
      <sheetName val="Base_Summary1"/>
      <sheetName val="Val_Sum1"/>
      <sheetName val="Balance_Summary1"/>
      <sheetName val="CF_Summary1"/>
      <sheetName val="Income_Summary1"/>
      <sheetName val="SGA_Graph1"/>
      <sheetName val="Q1_05_Comparison_for_MP1"/>
      <sheetName val="LBO_Output1"/>
      <sheetName val="LBO_Sensitivity1"/>
      <sheetName val="Other_Revenue1"/>
      <sheetName val="BUDG2004-Post_CIM1"/>
      <sheetName val="I__SUMMARY1"/>
      <sheetName val="I_1_Graphs1"/>
      <sheetName val="II__MODEL1"/>
      <sheetName val="III_1_Revenue1"/>
      <sheetName val="III_2_COGS1"/>
      <sheetName val="III_3_Gross_Margin1"/>
      <sheetName val="III_4_SG&amp;A1"/>
      <sheetName val="III_4a_LEASE1"/>
      <sheetName val="III__5_CAPEX1"/>
      <sheetName val="III_4_REVENUE_-_By_DC1"/>
      <sheetName val="FINAL_BUDG2004_FINAL1"/>
      <sheetName val="2004_YE_Adjustments1"/>
      <sheetName val="Comparison_2004_Actual1"/>
      <sheetName val="Q1_05_Comparison_by_month1"/>
      <sheetName val="December_Comparison_by_Year1"/>
      <sheetName val="December_Comparison1"/>
      <sheetName val="4Q_Days1"/>
      <sheetName val="4Q_Comparison_-_Revenue1"/>
      <sheetName val="4Q_Comparison_-_COGS1"/>
      <sheetName val="4Q_Comparison_-_GM1"/>
      <sheetName val="1Q_05_YTD1"/>
      <sheetName val="1Q_04_YTD1"/>
      <sheetName val="Rev_by_Prod1"/>
      <sheetName val="Real_Estate_Leases1"/>
      <sheetName val="Depr-_Equip1"/>
      <sheetName val="Depr_-_Office1"/>
      <sheetName val="Depr_-_Vehicles1"/>
      <sheetName val="MP_Graphs1"/>
      <sheetName val="Lookup_Page1"/>
      <sheetName val="Sheet1_(2)2"/>
      <sheetName val="Graph_by_Product_Type2"/>
      <sheetName val="Chart_Data2"/>
      <sheetName val="Upside_Quarterly_2"/>
      <sheetName val="Upside_vs__Base2"/>
      <sheetName val="Base_Quarterly2"/>
      <sheetName val="Base_Summary2"/>
      <sheetName val="Val_Sum2"/>
      <sheetName val="Balance_Summary2"/>
      <sheetName val="CF_Summary2"/>
      <sheetName val="Income_Summary2"/>
      <sheetName val="SGA_Graph2"/>
      <sheetName val="Q1_05_Comparison_for_MP2"/>
      <sheetName val="LBO_Output2"/>
      <sheetName val="LBO_Sensitivity2"/>
      <sheetName val="Other_Revenue2"/>
      <sheetName val="BUDG2004-Post_CIM2"/>
      <sheetName val="I__SUMMARY2"/>
      <sheetName val="I_1_Graphs2"/>
      <sheetName val="II__MODEL2"/>
      <sheetName val="III_1_Revenue2"/>
      <sheetName val="III_2_COGS2"/>
      <sheetName val="III_3_Gross_Margin2"/>
      <sheetName val="III_4_SG&amp;A2"/>
      <sheetName val="III_4a_LEASE2"/>
      <sheetName val="III__5_CAPEX2"/>
      <sheetName val="III_4_REVENUE_-_By_DC2"/>
      <sheetName val="FINAL_BUDG2004_FINAL2"/>
      <sheetName val="2004_YE_Adjustments2"/>
      <sheetName val="Comparison_2004_Actual2"/>
      <sheetName val="Q1_05_Comparison_by_month2"/>
      <sheetName val="December_Comparison_by_Year2"/>
      <sheetName val="December_Comparison2"/>
      <sheetName val="4Q_Days2"/>
      <sheetName val="4Q_Comparison_-_Revenue2"/>
      <sheetName val="4Q_Comparison_-_COGS2"/>
      <sheetName val="4Q_Comparison_-_GM2"/>
      <sheetName val="1Q_05_YTD2"/>
      <sheetName val="1Q_04_YTD2"/>
      <sheetName val="Rev_by_Prod2"/>
      <sheetName val="Real_Estate_Leases2"/>
      <sheetName val="Depr-_Equip2"/>
      <sheetName val="Depr_-_Office2"/>
      <sheetName val="Depr_-_Vehicles2"/>
      <sheetName val="MP_Graphs2"/>
      <sheetName val="Lookup_Page2"/>
      <sheetName val="Methodology_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P Graphs"/>
      <sheetName val="WC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P Graphs"/>
      <sheetName val="WC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tail-Whole"/>
      <sheetName val="Balance Summary"/>
      <sheetName val="Income Summary"/>
      <sheetName val="CF Summary"/>
      <sheetName val="Industry"/>
      <sheetName val="SGA"/>
      <sheetName val="Revenue by Product"/>
      <sheetName val="Industry Graphs"/>
      <sheetName val="ownership"/>
      <sheetName val="employees"/>
      <sheetName val="facilities"/>
      <sheetName val="fac_util"/>
      <sheetName val="Clients"/>
      <sheetName val="Opinion"/>
      <sheetName val="Total NA Tire Aftermarket"/>
      <sheetName val="Total NA Wheel Aftermarket (2)"/>
      <sheetName val="Sheet1 (2)"/>
      <sheetName val="List"/>
      <sheetName val="Mappings"/>
      <sheetName val="FX"/>
      <sheetName val="Graph by Product Type"/>
      <sheetName val="SGA Graph"/>
      <sheetName val="Inputs"/>
      <sheetName val="Admin"/>
      <sheetName val="CLOSE"/>
      <sheetName val="List management"/>
      <sheetName val="Lists"/>
      <sheetName val="Balance_Summary"/>
      <sheetName val="Income_Summary"/>
      <sheetName val="CF_Summary"/>
      <sheetName val="Revenue_by_Product"/>
      <sheetName val="Industry_Graphs"/>
      <sheetName val="Total_NA_Tire_Aftermarket"/>
      <sheetName val="Total_NA_Wheel_Aftermarket_(2)"/>
      <sheetName val="Sheet1_(2)"/>
      <sheetName val="Graph_by_Product_Type"/>
      <sheetName val="SGA_Graph"/>
      <sheetName val="List_management"/>
      <sheetName val="Balance_Summary1"/>
      <sheetName val="Income_Summary1"/>
      <sheetName val="CF_Summary1"/>
      <sheetName val="Revenue_by_Product1"/>
      <sheetName val="Industry_Graphs1"/>
      <sheetName val="Total_NA_Tire_Aftermarket1"/>
      <sheetName val="Total_NA_Wheel_Aftermarket_(2)1"/>
      <sheetName val="Sheet1_(2)1"/>
      <sheetName val="Graph_by_Product_Type1"/>
      <sheetName val="SGA_Graph1"/>
      <sheetName val="Balance_Summary2"/>
      <sheetName val="Income_Summary2"/>
      <sheetName val="CF_Summary2"/>
      <sheetName val="Revenue_by_Product2"/>
      <sheetName val="Industry_Graphs2"/>
      <sheetName val="Total_NA_Tire_Aftermarket2"/>
      <sheetName val="Total_NA_Wheel_Aftermarket_(2)2"/>
      <sheetName val="Sheet1_(2)2"/>
      <sheetName val="Graph_by_Product_Type2"/>
      <sheetName val="SGA_Graph2"/>
      <sheetName val="List_management1"/>
      <sheetName val="UK Topline &amp; Revenue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tail-Whole"/>
      <sheetName val="Balance Summary"/>
      <sheetName val="Income Summary"/>
      <sheetName val="CF Summary"/>
      <sheetName val="Industry"/>
      <sheetName val="SGA"/>
      <sheetName val="Revenue by Product"/>
      <sheetName val="Industry Graphs"/>
      <sheetName val="ownership"/>
      <sheetName val="employees"/>
      <sheetName val="facilities"/>
      <sheetName val="fac_util"/>
      <sheetName val="Clients"/>
      <sheetName val="Opinion"/>
      <sheetName val="Total NA Tire Aftermarket"/>
      <sheetName val="Total NA Wheel Aftermarket (2)"/>
      <sheetName val="Sheet1 (2)"/>
      <sheetName val="List"/>
      <sheetName val="Mappings"/>
      <sheetName val="FX"/>
      <sheetName val="Graph by Product Type"/>
      <sheetName val="SGA Graph"/>
      <sheetName val="Inputs"/>
      <sheetName val="Admin"/>
      <sheetName val="CLOSE"/>
      <sheetName val="List management"/>
      <sheetName val="Lists"/>
      <sheetName val="Balance_Summary"/>
      <sheetName val="Income_Summary"/>
      <sheetName val="CF_Summary"/>
      <sheetName val="Revenue_by_Product"/>
      <sheetName val="Industry_Graphs"/>
      <sheetName val="Total_NA_Tire_Aftermarket"/>
      <sheetName val="Total_NA_Wheel_Aftermarket_(2)"/>
      <sheetName val="Sheet1_(2)"/>
      <sheetName val="Graph_by_Product_Type"/>
      <sheetName val="SGA_Graph"/>
      <sheetName val="List_management"/>
      <sheetName val="Balance_Summary1"/>
      <sheetName val="Income_Summary1"/>
      <sheetName val="CF_Summary1"/>
      <sheetName val="Revenue_by_Product1"/>
      <sheetName val="Industry_Graphs1"/>
      <sheetName val="Total_NA_Tire_Aftermarket1"/>
      <sheetName val="Total_NA_Wheel_Aftermarket_(2)1"/>
      <sheetName val="Sheet1_(2)1"/>
      <sheetName val="Graph_by_Product_Type1"/>
      <sheetName val="SGA_Graph1"/>
      <sheetName val="Balance_Summary2"/>
      <sheetName val="Income_Summary2"/>
      <sheetName val="CF_Summary2"/>
      <sheetName val="Revenue_by_Product2"/>
      <sheetName val="Industry_Graphs2"/>
      <sheetName val="Total_NA_Tire_Aftermarket2"/>
      <sheetName val="Total_NA_Wheel_Aftermarket_(2)2"/>
      <sheetName val="Sheet1_(2)2"/>
      <sheetName val="Graph_by_Product_Type2"/>
      <sheetName val="SGA_Graph2"/>
      <sheetName val="List_management1"/>
      <sheetName val="UK Topline &amp; Revenue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GA Graph"/>
      <sheetName val="Income Summary"/>
      <sheetName val="Balance Summary"/>
      <sheetName val="Graph by Product Type"/>
      <sheetName val="S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GA Graph"/>
      <sheetName val="Income Summary"/>
      <sheetName val="Balance Summary"/>
      <sheetName val="Graph by Product Type"/>
      <sheetName val="S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erformance Graphs"/>
      <sheetName val="Sheet1"/>
      <sheetName val="Sheet2"/>
      <sheetName val="Sheet3"/>
      <sheetName val="Retail-Whole"/>
      <sheetName val="Lookup"/>
      <sheetName val="List"/>
      <sheetName val="Inputs"/>
      <sheetName val="Update"/>
      <sheetName val="WC"/>
      <sheetName val="MP Graphs"/>
      <sheetName val="Admin"/>
      <sheetName val="Comparative"/>
      <sheetName val="Performance_Graphs"/>
      <sheetName val="MP_Graphs"/>
      <sheetName val="Performance_Graphs1"/>
      <sheetName val="MP_Graphs1"/>
      <sheetName val="Performance_Graphs2"/>
      <sheetName val="MP_Graphs2"/>
      <sheetName val="Graph by Product Type"/>
      <sheetName val="SGA Graph"/>
      <sheetName val="Income Summary"/>
      <sheetName val="Balance Summary"/>
      <sheetName val="SG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erformance Graphs"/>
      <sheetName val="Sheet1"/>
      <sheetName val="Sheet2"/>
      <sheetName val="Sheet3"/>
      <sheetName val="Retail-Whole"/>
      <sheetName val="Lookup"/>
      <sheetName val="List"/>
      <sheetName val="Inputs"/>
      <sheetName val="Update"/>
      <sheetName val="WC"/>
      <sheetName val="MP Graphs"/>
      <sheetName val="Admin"/>
      <sheetName val="Comparative"/>
      <sheetName val="Performance_Graphs"/>
      <sheetName val="MP_Graphs"/>
      <sheetName val="Performance_Graphs1"/>
      <sheetName val="MP_Graphs1"/>
      <sheetName val="Performance_Graphs2"/>
      <sheetName val="MP_Graphs2"/>
      <sheetName val="Graph by Product Type"/>
      <sheetName val="SGA Graph"/>
      <sheetName val="Income Summary"/>
      <sheetName val="Balance Summary"/>
      <sheetName val="SG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 31.3-4.5 CIC"/>
      <sheetName val="RA 31.3-4.5 ORO"/>
      <sheetName val="RA 31.3-4.5 TOP"/>
      <sheetName val="RA 31.3-4.5 FOCUS"/>
      <sheetName val="MEDRA3APR"/>
      <sheetName val="RA3-30.3FOC"/>
      <sheetName val="RA5.5-8.6ORO"/>
      <sheetName val="RA5.5-8.6CIC"/>
      <sheetName val="ratop5.5-8.6"/>
      <sheetName val="RA5.5-8.6FOCUS"/>
      <sheetName val="MED3.30-MARORO"/>
      <sheetName val="MED3.30MARTOP"/>
      <sheetName val="MED3-30MARCIC"/>
      <sheetName val="MED3-30MARFOC"/>
      <sheetName val="MEDRA1APR"/>
      <sheetName val="MEDRAI2APR"/>
      <sheetName val="MEDRARAPR"/>
      <sheetName val="MED31.3-4.5 ORO"/>
      <sheetName val="MED31.3-4.5TOP"/>
      <sheetName val="MED31.3-4.5CIC"/>
      <sheetName val="MED31.3-4.5FOC"/>
      <sheetName val="MEDMAGRA1"/>
      <sheetName val="MEDMAGRA2"/>
      <sheetName val="MEDMAGRA3"/>
      <sheetName val="MEDMAGRAR"/>
      <sheetName val="MEDMAGORO"/>
      <sheetName val="MEDMAGTOP"/>
      <sheetName val="MEDMAGCIC"/>
      <sheetName val="MEDMAGFOC"/>
      <sheetName val="TOPGIU"/>
      <sheetName val="MODPTGIU"/>
      <sheetName val="MODDTGIU"/>
      <sheetName val="MODEURGIU"/>
      <sheetName val="spec9-29giu"/>
      <sheetName val="oro 22-9 - 26-10"/>
      <sheetName val="top 22-9 - 26-10"/>
      <sheetName val="spec 22-9 26-10"/>
      <sheetName val="cic 22-9 - 26-10"/>
      <sheetName val="Programlar"/>
      <sheetName val="Kategoriler"/>
      <sheetName val="1"/>
      <sheetName val="cic 22_9 _ 26_10"/>
      <sheetName val="Sheet1"/>
      <sheetName val="DMA list"/>
      <sheetName val="2012 Categories and 2011"/>
      <sheetName val="Model"/>
      <sheetName val="Make"/>
      <sheetName val="G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oaming_Offer"/>
      <sheetName val="International_Calls_Offer"/>
      <sheetName val="Drop_Down_List"/>
      <sheetName val="Roaming Offer"/>
      <sheetName val="International Calls Offer"/>
      <sheetName val="Drop Down 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pslagsArk"/>
      <sheetName val="TV-Briefing"/>
      <sheetName val="Spotlængder"/>
      <sheetName val="opfølningRef"/>
      <sheetName val="Part 4.4"/>
      <sheetName val="Do Not Delet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pslagsArk"/>
      <sheetName val="TV-Briefing"/>
      <sheetName val="Spotlængder"/>
      <sheetName val="opfølningRef"/>
      <sheetName val="Part 4.4"/>
      <sheetName val="Do Not Delet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PPROVAL"/>
      <sheetName val="SUMMARY"/>
      <sheetName val="TRACKER"/>
      <sheetName val="DIGITAL"/>
      <sheetName val="DIGITA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PPROVAL"/>
      <sheetName val="SUMMARY"/>
      <sheetName val="TRACKER"/>
      <sheetName val="DIGITAL"/>
      <sheetName val="DIGITA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vision tags lookups"/>
      <sheetName val="Summary"/>
      <sheetName val="Media Plan"/>
      <sheetName val="Sheet1"/>
      <sheetName val="Trafficking Sheet DCM"/>
      <sheetName val="Do Not Delete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vision tags lookups"/>
      <sheetName val="Summary"/>
      <sheetName val="Media Plan"/>
      <sheetName val="Sheet1"/>
      <sheetName val="Trafficking Sheet DCM"/>
      <sheetName val="Do Not Delete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3"/>
      <sheetName val="P1"/>
      <sheetName val="P2"/>
      <sheetName val="P3 to P4 New"/>
      <sheetName val="P4"/>
      <sheetName val="P3 template for Automation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3"/>
      <sheetName val="P1"/>
      <sheetName val="P2"/>
      <sheetName val="P3 to P4 New"/>
      <sheetName val="P4"/>
      <sheetName val="P3 template for Automation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CCS"/>
      <sheetName val="CCS"/>
      <sheetName val="PRINT"/>
      <sheetName val="PG"/>
      <sheetName val="SAD"/>
      <sheetName val="UAE"/>
      <sheetName val="KWT"/>
      <sheetName val="QTR"/>
      <sheetName val="BHN"/>
      <sheetName val="OMN"/>
      <sheetName val="ntv-fiyat"/>
      <sheetName val="TOPLAM KANAL KIRILIMI-GRP'S (2)"/>
      <sheetName val="JUL"/>
      <sheetName val="Köprü"/>
      <sheetName val="SUMMARY_CCS"/>
      <sheetName val="SUMMARY_CCS2"/>
      <sheetName val="TOPLAM_KANAL_KIRILIMI-GRP'S_(21"/>
      <sheetName val="SUMMARY_CCS1"/>
      <sheetName val="TOPLAM_KANAL_KIRILIMI-GRP'S_(2)"/>
      <sheetName val="SUMMARY_CCS3"/>
      <sheetName val="TOPLAM_KANAL_KIRILIMI-GRP'S_(22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Y! Media Plan Jan 1 - May 2016"/>
      <sheetName val="Y! Media Plan Nov-Dec 31"/>
      <sheetName val="Online "/>
      <sheetName val="Y!_Media_Plan_Nov-Dec_31"/>
      <sheetName val="Y!_Media_Plan_Jan_1_-_May_2016"/>
      <sheetName val="Online_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Y! Media Plan Nov-Dec 31"/>
      <sheetName val="Y! Media Plan Jan 1 - May 2016"/>
      <sheetName val="Online "/>
      <sheetName val="Y!_Media_Plan_Nov-Dec_31"/>
      <sheetName val="Y!_Media_Plan_Jan_1_-_May_2016"/>
      <sheetName val="Online_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Y! Media Plan"/>
      <sheetName val="Y! Media Plan (2)"/>
      <sheetName val="Y! Media Plan (3)"/>
    </sheetNames>
    <sheetDataSet>
      <sheetData sheetId="0" refreshError="1"/>
      <sheetData sheetId="1"/>
      <sheetData sheetId="2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Y! Media Plan"/>
      <sheetName val="Y! Media Plan (2)"/>
      <sheetName val="Y! Media Plan (3)"/>
    </sheetNames>
    <sheetDataSet>
      <sheetData sheetId="0" refreshError="1"/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oaming Offer"/>
      <sheetName val="International Calls Offer"/>
      <sheetName val="Drop Down List"/>
      <sheetName val="Roaming_Offer"/>
      <sheetName val="International_Calls_Offer"/>
      <sheetName val="Drop_Down_List"/>
      <sheetName val="Roaming_Offer1"/>
      <sheetName val="International_Calls_Offer1"/>
      <sheetName val="Drop_Down_List1"/>
      <sheetName val="Roaming_Offer2"/>
      <sheetName val="International_Calls_Offer2"/>
      <sheetName val="Drop_Down_Lis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YRIA"/>
      <sheetName val="SYRIA (2)"/>
      <sheetName val="SYRIA (3)"/>
      <sheetName val="SYRIA_(2)"/>
      <sheetName val="SYRIA_(3)"/>
      <sheetName val="SYRIA_(2)1"/>
      <sheetName val="SYRIA_(3)1"/>
      <sheetName val="Lists"/>
      <sheetName val="01 - Economic 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TELLITE"/>
      <sheetName val="UAE"/>
      <sheetName val="LAYOUT"/>
      <sheetName val="SYRI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TELLITE"/>
      <sheetName val="LAYOUT"/>
    </sheetNames>
    <sheetDataSet>
      <sheetData sheetId="0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CCS"/>
      <sheetName val="CCS"/>
      <sheetName val="PRINT"/>
      <sheetName val="PG"/>
      <sheetName val="SAD"/>
      <sheetName val="UAE"/>
      <sheetName val="KWT"/>
      <sheetName val="QTR"/>
      <sheetName val="BHN"/>
      <sheetName val="OMN"/>
      <sheetName val="ntv-fiyat"/>
      <sheetName val="TOPLAM KANAL KIRILIMI-GRP'S (2)"/>
      <sheetName val="JUL"/>
      <sheetName val="Köprü"/>
      <sheetName val="SUMMARY_CCS1"/>
      <sheetName val="TOPLAM_KANAL_KIRILIMI-GRP'S_(21"/>
      <sheetName val="SUMMARY_CCS"/>
      <sheetName val="TOPLAM_KANAL_KIRILIMI-GRP'S_(2)"/>
      <sheetName val="SUMMARY_CCS2"/>
      <sheetName val="SUMMARY_CCS3"/>
      <sheetName val="TOPLAM_KANAL_KIRILIMI-GRP'S_(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Y! Media Plan Nov-Dec 31"/>
      <sheetName val="Y! Media Plan Jan 1 - May 2016"/>
      <sheetName val="Online "/>
      <sheetName val="Y!_Media_Plan_Nov-Dec_31"/>
      <sheetName val="Y!_Media_Plan_Jan_1_-_May_2016"/>
      <sheetName val="Online_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pproval Form"/>
      <sheetName val="Digital Phasing"/>
      <sheetName val="TV"/>
      <sheetName val="OOH"/>
      <sheetName val="The Draw"/>
      <sheetName val="Ticket Phase 1"/>
      <sheetName val="Slogan Launch"/>
      <sheetName val="Volunteers"/>
      <sheetName val="Host Cities"/>
      <sheetName val="Ticket Phase 2"/>
      <sheetName val="Mascot Reveal"/>
      <sheetName val="Official Song"/>
      <sheetName val="Trophy Tour"/>
      <sheetName val="Last minute ticket sales"/>
      <sheetName val="Lega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4:K35" sheet="Budgeting - Channel"/>
  </cacheSource>
  <cacheFields>
    <cacheField name="Phase" numFmtId="0">
      <sharedItems>
        <s v="Phase 1 - Aug - Sept"/>
        <s v="Song and Mascot Promotion"/>
      </sharedItems>
    </cacheField>
    <cacheField name="Market" numFmtId="0">
      <sharedItems>
        <s v="KSA"/>
        <s v="GCC"/>
        <s v="Iraq"/>
        <s v="Yemen"/>
      </sharedItems>
    </cacheField>
    <cacheField name="Channel" numFmtId="0">
      <sharedItems>
        <s v="META"/>
        <s v="TikTok"/>
        <s v="Snapchat"/>
        <s v="Snapchat First Commercial Takeover"/>
        <s v="X"/>
        <s v="X Takeover"/>
        <s v="YouTube"/>
        <s v="Programmatic"/>
        <s v="Google Search"/>
        <s v="Google Pmax"/>
        <s v="Programmatic (Anghami)"/>
        <s v="Programmatic (TMV)"/>
        <s v="Programmatic (Spotify) Song Promotion"/>
        <s v="Programmatic (Spotify) Mascot Promotion - Video"/>
        <s v="Programmatic (Spotify) Mascot Promotion - Display"/>
      </sharedItems>
    </cacheField>
    <cacheField name="Budget ($)" numFmtId="164">
      <sharedItems containsSemiMixedTypes="0" containsString="0" containsNumber="1" containsInteger="1">
        <n v="16000.0"/>
        <n v="18720.0"/>
        <n v="17150.0"/>
        <n v="17000.0"/>
        <n v="15000.0"/>
        <n v="58493.0"/>
        <n v="25000.0"/>
        <n v="45000.0"/>
        <n v="7000.0"/>
        <n v="11000.0"/>
        <n v="20000.0"/>
        <n v="14000.0"/>
        <n v="12000.0"/>
        <n v="5000.0"/>
        <n v="5600.0"/>
        <n v="4000.0"/>
        <n v="6000.0"/>
        <n v="35000.0"/>
        <n v="10000.0"/>
        <n v="13000.0"/>
        <n v="9000.0"/>
      </sharedItems>
    </cacheField>
    <cacheField name="Budget (SAR)" numFmtId="165">
      <sharedItems containsSemiMixedTypes="0" containsString="0" containsNumber="1">
        <n v="60160.0"/>
        <n v="70387.2"/>
        <n v="64483.99999999999"/>
        <n v="63920.0"/>
        <n v="56400.0"/>
        <n v="219933.68"/>
        <n v="94000.0"/>
        <n v="169200.0"/>
        <n v="26320.0"/>
        <n v="41360.0"/>
        <n v="75200.0"/>
        <n v="52640.0"/>
        <n v="45120.0"/>
        <n v="18800.0"/>
        <n v="21056.0"/>
        <n v="15040.0"/>
        <n v="22560.0"/>
        <n v="131600.0"/>
        <n v="37600.0"/>
        <n v="48880.0"/>
        <n v="3384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9" cacheId="0" dataCaption="" compact="0" compactData="0">
  <location ref="E11:G12" firstHeaderRow="0" firstDataRow="2" firstDataCol="0" rowPageCount="2" colPageCount="1"/>
  <pivotFields>
    <pivotField name="Phase" axis="axisPage" compact="0" outline="0" multipleItemSelectionAllowed="1" showAll="0">
      <items>
        <item h="1" x="0"/>
        <item h="1" x="1"/>
        <item t="default"/>
      </items>
    </pivotField>
    <pivotField name="Market" axis="axisPage" compact="0" outline="0" multipleItemSelectionAllowed="1" showAll="0">
      <items>
        <item x="0"/>
        <item x="1"/>
        <item x="2"/>
        <item x="3"/>
        <item t="default"/>
      </items>
    </pivotField>
    <pivotField name="Channel" axis="axisRow" compact="0" outline="0" multipleItemSelectionAllowed="1" showAll="0" sortType="ascending">
      <items>
        <item x="9"/>
        <item x="8"/>
        <item x="0"/>
        <item x="7"/>
        <item x="10"/>
        <item x="14"/>
        <item x="13"/>
        <item x="12"/>
        <item x="11"/>
        <item x="2"/>
        <item x="3"/>
        <item x="1"/>
        <item x="4"/>
        <item x="5"/>
        <item x="6"/>
        <item t="default"/>
      </items>
    </pivotField>
    <pivotField name="Budget ($)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udget (SAR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colFields>
    <field x="-2"/>
  </colFields>
  <pageFields>
    <pageField fld="0"/>
    <pageField fld="1"/>
  </pageFields>
  <dataFields>
    <dataField name="Sum of Budget ($)" fld="3" baseField="0"/>
    <dataField name="Sum of Budget (SAR)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26.5"/>
    <col customWidth="1" min="3" max="3" width="52.25"/>
    <col customWidth="1" min="4" max="4" width="31.0"/>
    <col customWidth="1" min="5" max="6" width="21.5"/>
    <col customWidth="1" min="7" max="7" width="47.0"/>
    <col customWidth="1" min="8" max="8" width="19.0"/>
    <col customWidth="1" min="9" max="9" width="20.63"/>
    <col customWidth="1" min="10" max="10" width="18.13"/>
    <col customWidth="1" min="11" max="11" width="31.13"/>
    <col customWidth="1" min="12" max="12" width="58.88"/>
    <col customWidth="1" min="13" max="13" width="29.13"/>
    <col customWidth="1" min="14" max="26" width="8.75"/>
  </cols>
  <sheetData>
    <row r="1" ht="18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3"/>
      <c r="B4" s="7"/>
      <c r="C4" s="7"/>
      <c r="D4" s="7"/>
      <c r="E4" s="7"/>
      <c r="F4" s="7"/>
      <c r="G4" s="3"/>
      <c r="H4" s="3"/>
      <c r="I4" s="7"/>
      <c r="J4" s="7"/>
      <c r="K4" s="8" t="s">
        <v>0</v>
      </c>
      <c r="L4" s="9" t="s">
        <v>1</v>
      </c>
      <c r="M4" s="11" t="s">
        <v>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3.5" customHeight="1">
      <c r="A5" s="13"/>
      <c r="B5" s="15" t="s">
        <v>3</v>
      </c>
      <c r="C5" s="18" t="s">
        <v>4</v>
      </c>
      <c r="D5" s="7"/>
      <c r="E5" s="7"/>
      <c r="F5" s="7"/>
      <c r="G5" s="13"/>
      <c r="H5" s="13"/>
      <c r="I5" s="7"/>
      <c r="J5" s="7"/>
      <c r="K5" s="8" t="s">
        <v>5</v>
      </c>
      <c r="L5" s="9" t="s">
        <v>6</v>
      </c>
      <c r="M5" s="2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2.5" customHeight="1">
      <c r="A6" s="13"/>
      <c r="B6" s="15" t="s">
        <v>7</v>
      </c>
      <c r="C6" s="18" t="s">
        <v>8</v>
      </c>
      <c r="D6" s="7"/>
      <c r="E6" s="7"/>
      <c r="F6" s="7"/>
      <c r="G6" s="13"/>
      <c r="H6" s="13"/>
      <c r="I6" s="7"/>
      <c r="J6" s="7"/>
      <c r="K6" s="8" t="s">
        <v>10</v>
      </c>
      <c r="L6" s="25">
        <v>3.12049011310003E14</v>
      </c>
      <c r="M6" s="26" t="s">
        <v>12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13"/>
      <c r="B7" s="15" t="s">
        <v>9</v>
      </c>
      <c r="C7" s="24" t="s">
        <v>11</v>
      </c>
      <c r="D7" s="7"/>
      <c r="E7" s="7"/>
      <c r="F7" s="7"/>
      <c r="G7" s="13"/>
      <c r="H7" s="13"/>
      <c r="I7" s="7"/>
      <c r="J7" s="7"/>
      <c r="K7" s="8" t="s">
        <v>14</v>
      </c>
      <c r="L7" s="29">
        <v>0.15</v>
      </c>
      <c r="M7" s="2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4.0" customHeight="1">
      <c r="A8" s="13"/>
      <c r="B8" s="15" t="s">
        <v>15</v>
      </c>
      <c r="C8" s="18" t="s">
        <v>16</v>
      </c>
      <c r="D8" s="7"/>
      <c r="E8" s="7"/>
      <c r="F8" s="7"/>
      <c r="G8" s="13"/>
      <c r="H8" s="13"/>
      <c r="I8" s="7"/>
      <c r="J8" s="7"/>
      <c r="K8" s="8" t="s">
        <v>17</v>
      </c>
      <c r="L8" s="29" t="s">
        <v>18</v>
      </c>
      <c r="M8" s="11" t="s">
        <v>18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13"/>
      <c r="B9" s="15" t="s">
        <v>19</v>
      </c>
      <c r="C9" s="33" t="s">
        <v>20</v>
      </c>
      <c r="D9" s="23"/>
      <c r="E9" s="7"/>
      <c r="F9" s="7"/>
      <c r="G9" s="7"/>
      <c r="H9" s="7"/>
      <c r="I9" s="7"/>
      <c r="J9" s="7"/>
      <c r="K9" s="7"/>
      <c r="L9" s="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1.0" customHeight="1">
      <c r="A10" s="13"/>
      <c r="B10" s="15" t="s">
        <v>22</v>
      </c>
      <c r="C10" s="18" t="s">
        <v>20</v>
      </c>
      <c r="D10" s="23"/>
      <c r="E10" s="7"/>
      <c r="F10" s="7"/>
      <c r="G10" s="7"/>
      <c r="H10" s="7"/>
      <c r="I10" s="7"/>
      <c r="J10" s="7"/>
      <c r="K10" s="7"/>
      <c r="L10" s="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13"/>
      <c r="B11" s="36" t="s">
        <v>23</v>
      </c>
      <c r="C11" s="39">
        <f>TODAY()</f>
        <v>46258</v>
      </c>
      <c r="D11" s="40"/>
      <c r="E11" s="7"/>
      <c r="F11" s="7"/>
      <c r="G11" s="7"/>
      <c r="H11" s="7"/>
      <c r="I11" s="7"/>
      <c r="J11" s="7"/>
      <c r="K11" s="7"/>
      <c r="L11" s="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0.25" customHeight="1">
      <c r="A12" s="3"/>
      <c r="B12" s="43"/>
      <c r="C12" s="43"/>
      <c r="D12" s="43"/>
      <c r="E12" s="45"/>
      <c r="F12" s="45"/>
      <c r="G12" s="4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3"/>
      <c r="B13" s="47" t="s">
        <v>24</v>
      </c>
      <c r="C13" s="48"/>
      <c r="D13" s="49" t="s">
        <v>26</v>
      </c>
      <c r="E13" s="47" t="s">
        <v>28</v>
      </c>
      <c r="F13" s="48"/>
      <c r="G13" s="49" t="s">
        <v>30</v>
      </c>
      <c r="H13" s="49" t="s">
        <v>32</v>
      </c>
      <c r="I13" s="49" t="s">
        <v>35</v>
      </c>
      <c r="J13" s="5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51"/>
      <c r="C14" s="52"/>
      <c r="D14" s="53"/>
      <c r="E14" s="54"/>
      <c r="F14" s="55"/>
      <c r="G14" s="56"/>
      <c r="H14" s="56"/>
      <c r="I14" s="56"/>
      <c r="J14" s="5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60" t="s">
        <v>47</v>
      </c>
      <c r="C15" s="61"/>
      <c r="D15" s="62" t="s">
        <v>50</v>
      </c>
      <c r="E15" s="64" t="s">
        <v>53</v>
      </c>
      <c r="F15" s="48"/>
      <c r="G15" s="65" t="str">
        <f>'Phase 1 - Aug - Sept (Launch)'!B18</f>
        <v>META</v>
      </c>
      <c r="H15" s="66">
        <f>'Phase 1 - Aug - Sept (Launch)'!Y18</f>
        <v>16000</v>
      </c>
      <c r="I15" s="69">
        <f t="shared" ref="I15:I36" si="1">H15*3.76</f>
        <v>60160</v>
      </c>
      <c r="J15" s="7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71" t="s">
        <v>57</v>
      </c>
      <c r="C16" s="74" t="str">
        <f>C7</f>
        <v>KSA, GCC, Iraq, Yemen</v>
      </c>
      <c r="D16" s="76"/>
      <c r="E16" s="77"/>
      <c r="F16" s="78"/>
      <c r="G16" s="65" t="str">
        <f>'Phase 1 - Aug - Sept (Launch)'!B19</f>
        <v>TikTok</v>
      </c>
      <c r="H16" s="66">
        <f>'Phase 1 - Aug - Sept (Launch)'!Y19</f>
        <v>18720</v>
      </c>
      <c r="I16" s="69">
        <f t="shared" si="1"/>
        <v>70387.2</v>
      </c>
      <c r="J16" s="7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71" t="s">
        <v>73</v>
      </c>
      <c r="C17" s="85" t="str">
        <f>C6</f>
        <v>Gulf Cup</v>
      </c>
      <c r="D17" s="76"/>
      <c r="E17" s="77"/>
      <c r="F17" s="78"/>
      <c r="G17" s="65" t="str">
        <f>'Phase 1 - Aug - Sept (Launch)'!B20</f>
        <v>Snapchat</v>
      </c>
      <c r="H17" s="66">
        <f>'Phase 1 - Aug - Sept (Launch)'!Y20</f>
        <v>17150</v>
      </c>
      <c r="I17" s="69">
        <f t="shared" si="1"/>
        <v>64484</v>
      </c>
      <c r="J17" s="7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71"/>
      <c r="C18" s="85"/>
      <c r="D18" s="76"/>
      <c r="E18" s="77"/>
      <c r="F18" s="78"/>
      <c r="G18" s="65" t="str">
        <f>'Phase 1 - Aug - Sept (Launch)'!B21</f>
        <v>Snapchat First Commercial Takeover</v>
      </c>
      <c r="H18" s="66">
        <f>'Phase 1 - Aug - Sept (Launch)'!Y21</f>
        <v>17000</v>
      </c>
      <c r="I18" s="69">
        <f t="shared" si="1"/>
        <v>63920</v>
      </c>
      <c r="J18" s="7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91"/>
      <c r="C19" s="92"/>
      <c r="D19" s="76"/>
      <c r="E19" s="77"/>
      <c r="F19" s="78"/>
      <c r="G19" s="65" t="str">
        <f>'Phase 1 - Aug - Sept (Launch)'!B22</f>
        <v>X</v>
      </c>
      <c r="H19" s="66">
        <f>'Phase 1 - Aug - Sept (Launch)'!Y22</f>
        <v>15000</v>
      </c>
      <c r="I19" s="69">
        <f t="shared" si="1"/>
        <v>56400</v>
      </c>
      <c r="J19" s="7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91"/>
      <c r="C20" s="92"/>
      <c r="D20" s="76"/>
      <c r="E20" s="77"/>
      <c r="F20" s="78"/>
      <c r="G20" s="65" t="str">
        <f>'Phase 1 - Aug - Sept (Launch)'!B23</f>
        <v>X Takeover</v>
      </c>
      <c r="H20" s="66">
        <f>'Phase 1 - Aug - Sept (Launch)'!Y23</f>
        <v>58493</v>
      </c>
      <c r="I20" s="69">
        <f t="shared" si="1"/>
        <v>219933.68</v>
      </c>
      <c r="J20" s="7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91"/>
      <c r="C21" s="92"/>
      <c r="D21" s="76"/>
      <c r="E21" s="77"/>
      <c r="F21" s="78"/>
      <c r="G21" s="65" t="str">
        <f>'Phase 1 - Aug - Sept (Launch)'!B24</f>
        <v>YouTube</v>
      </c>
      <c r="H21" s="66">
        <f>'Phase 1 - Aug - Sept (Launch)'!Y24</f>
        <v>25000</v>
      </c>
      <c r="I21" s="69">
        <f t="shared" si="1"/>
        <v>94000</v>
      </c>
      <c r="J21" s="7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91"/>
      <c r="C22" s="92"/>
      <c r="D22" s="76"/>
      <c r="E22" s="77"/>
      <c r="F22" s="78"/>
      <c r="G22" s="65" t="str">
        <f>'Phase 1 - Aug - Sept (Launch)'!B25</f>
        <v>Programmatic</v>
      </c>
      <c r="H22" s="66">
        <f>'Phase 1 - Aug - Sept (Launch)'!Y25</f>
        <v>45000</v>
      </c>
      <c r="I22" s="69">
        <f t="shared" si="1"/>
        <v>169200</v>
      </c>
      <c r="J22" s="7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91"/>
      <c r="C23" s="92"/>
      <c r="D23" s="76"/>
      <c r="E23" s="77"/>
      <c r="F23" s="78"/>
      <c r="G23" s="65" t="str">
        <f>'Phase 1 - Aug - Sept (Launch)'!B26</f>
        <v>Google Search</v>
      </c>
      <c r="H23" s="66">
        <f>'Phase 1 - Aug - Sept (Launch)'!Y26</f>
        <v>7000</v>
      </c>
      <c r="I23" s="69">
        <f t="shared" si="1"/>
        <v>26320</v>
      </c>
      <c r="J23" s="7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91"/>
      <c r="C24" s="92"/>
      <c r="D24" s="76"/>
      <c r="E24" s="77"/>
      <c r="F24" s="78"/>
      <c r="G24" s="65" t="str">
        <f>'Phase 1 - Aug - Sept (Launch)'!B27</f>
        <v>Google Pmax</v>
      </c>
      <c r="H24" s="66">
        <f>'Phase 1 - Aug - Sept (Launch)'!Y27</f>
        <v>11000</v>
      </c>
      <c r="I24" s="69">
        <f t="shared" si="1"/>
        <v>41360</v>
      </c>
      <c r="J24" s="7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91"/>
      <c r="C25" s="92"/>
      <c r="D25" s="76"/>
      <c r="E25" s="77"/>
      <c r="F25" s="78"/>
      <c r="G25" s="65" t="str">
        <f>'Phase 1 - Aug - Sept (Launch)'!B28</f>
        <v>META</v>
      </c>
      <c r="H25" s="66">
        <f>'Phase 1 - Aug - Sept (Launch)'!Y28</f>
        <v>20000</v>
      </c>
      <c r="I25" s="69">
        <f t="shared" si="1"/>
        <v>75200</v>
      </c>
      <c r="J25" s="7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91"/>
      <c r="C26" s="92"/>
      <c r="D26" s="76"/>
      <c r="E26" s="77"/>
      <c r="F26" s="78"/>
      <c r="G26" s="65" t="str">
        <f>'Phase 1 - Aug - Sept (Launch)'!B29</f>
        <v>TikTok</v>
      </c>
      <c r="H26" s="66">
        <f>'Phase 1 - Aug - Sept (Launch)'!Y29</f>
        <v>20000</v>
      </c>
      <c r="I26" s="69">
        <f t="shared" si="1"/>
        <v>75200</v>
      </c>
      <c r="J26" s="70"/>
      <c r="K26" s="3"/>
      <c r="L26" s="103" t="s">
        <v>108</v>
      </c>
      <c r="M26" s="10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91"/>
      <c r="C27" s="92"/>
      <c r="D27" s="76"/>
      <c r="E27" s="64" t="s">
        <v>99</v>
      </c>
      <c r="F27" s="48"/>
      <c r="G27" s="65" t="str">
        <f>'Phase 1 - Aug - Sept (Launch)'!B33</f>
        <v>META</v>
      </c>
      <c r="H27" s="66">
        <f>'Phase 1 - Aug - Sept (Launch)'!Y33</f>
        <v>15000</v>
      </c>
      <c r="I27" s="69">
        <f t="shared" si="1"/>
        <v>56400</v>
      </c>
      <c r="J27" s="70"/>
      <c r="K27" s="3"/>
      <c r="L27" s="105"/>
      <c r="M27" s="10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91"/>
      <c r="C28" s="92"/>
      <c r="D28" s="76"/>
      <c r="E28" s="77"/>
      <c r="F28" s="78"/>
      <c r="G28" s="65" t="str">
        <f>'Phase 1 - Aug - Sept (Launch)'!B34</f>
        <v>YouTube</v>
      </c>
      <c r="H28" s="66">
        <f>'Phase 1 - Aug - Sept (Launch)'!Y34</f>
        <v>14000</v>
      </c>
      <c r="I28" s="69">
        <f t="shared" si="1"/>
        <v>52640</v>
      </c>
      <c r="J28" s="70"/>
      <c r="K28" s="3"/>
      <c r="L28" s="107" t="s">
        <v>122</v>
      </c>
      <c r="M28" s="10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91"/>
      <c r="C29" s="92"/>
      <c r="D29" s="76"/>
      <c r="E29" s="77"/>
      <c r="F29" s="78"/>
      <c r="G29" s="65" t="str">
        <f>'Phase 1 - Aug - Sept (Launch)'!B35</f>
        <v>Programmatic</v>
      </c>
      <c r="H29" s="66">
        <f>'Phase 1 - Aug - Sept (Launch)'!Y35</f>
        <v>14000</v>
      </c>
      <c r="I29" s="69">
        <f t="shared" si="1"/>
        <v>52640</v>
      </c>
      <c r="J29" s="70"/>
      <c r="K29" s="3"/>
      <c r="L29" s="107"/>
      <c r="M29" s="10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91"/>
      <c r="C30" s="92"/>
      <c r="D30" s="76"/>
      <c r="E30" s="51"/>
      <c r="F30" s="52"/>
      <c r="G30" s="65" t="str">
        <f>'Phase 1 - Aug - Sept (Launch)'!B36</f>
        <v>Google Pmax</v>
      </c>
      <c r="H30" s="66">
        <f>'Phase 1 - Aug - Sept (Launch)'!Y36</f>
        <v>12000</v>
      </c>
      <c r="I30" s="69">
        <f t="shared" si="1"/>
        <v>45120</v>
      </c>
      <c r="J30" s="70"/>
      <c r="K30" s="3"/>
      <c r="L30" s="109"/>
      <c r="M30" s="11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91"/>
      <c r="C31" s="92"/>
      <c r="D31" s="76"/>
      <c r="E31" s="64" t="s">
        <v>131</v>
      </c>
      <c r="F31" s="48"/>
      <c r="G31" s="65" t="str">
        <f>'Phase 1 - Aug - Sept (Launch)'!B40</f>
        <v>META</v>
      </c>
      <c r="H31" s="66">
        <f>'Phase 1 - Aug - Sept (Launch)'!Y40</f>
        <v>5000</v>
      </c>
      <c r="I31" s="69">
        <f t="shared" si="1"/>
        <v>18800</v>
      </c>
      <c r="J31" s="70"/>
      <c r="K31" s="3"/>
      <c r="L31" s="109"/>
      <c r="M31" s="11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91"/>
      <c r="C32" s="92"/>
      <c r="D32" s="76"/>
      <c r="E32" s="77"/>
      <c r="F32" s="78"/>
      <c r="G32" s="65" t="str">
        <f>'Phase 1 - Aug - Sept (Launch)'!B41</f>
        <v>YouTube</v>
      </c>
      <c r="H32" s="66">
        <f>'Phase 1 - Aug - Sept (Launch)'!Y41</f>
        <v>7000</v>
      </c>
      <c r="I32" s="69">
        <f t="shared" si="1"/>
        <v>26320</v>
      </c>
      <c r="J32" s="70"/>
      <c r="K32" s="3"/>
      <c r="L32" s="109"/>
      <c r="M32" s="11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91"/>
      <c r="C33" s="92"/>
      <c r="D33" s="76"/>
      <c r="E33" s="51"/>
      <c r="F33" s="52"/>
      <c r="G33" s="65" t="str">
        <f>'Phase 1 - Aug - Sept (Launch)'!B42</f>
        <v>Google Pmax</v>
      </c>
      <c r="H33" s="66">
        <f>'Phase 1 - Aug - Sept (Launch)'!Y42</f>
        <v>5000</v>
      </c>
      <c r="I33" s="69">
        <f t="shared" si="1"/>
        <v>18800</v>
      </c>
      <c r="J33" s="70"/>
      <c r="K33" s="3"/>
      <c r="L33" s="109"/>
      <c r="M33" s="110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91"/>
      <c r="C34" s="92"/>
      <c r="D34" s="76"/>
      <c r="E34" s="64" t="s">
        <v>135</v>
      </c>
      <c r="F34" s="48"/>
      <c r="G34" s="65" t="str">
        <f>'Phase 1 - Aug - Sept (Launch)'!B46</f>
        <v>META</v>
      </c>
      <c r="H34" s="66">
        <f>'Phase 1 - Aug - Sept (Launch)'!Y46</f>
        <v>5600</v>
      </c>
      <c r="I34" s="69">
        <f t="shared" si="1"/>
        <v>21056</v>
      </c>
      <c r="J34" s="70"/>
      <c r="K34" s="3"/>
      <c r="L34" s="109"/>
      <c r="M34" s="110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91"/>
      <c r="C35" s="92"/>
      <c r="D35" s="76"/>
      <c r="E35" s="77"/>
      <c r="F35" s="78"/>
      <c r="G35" s="65" t="str">
        <f>'Phase 1 - Aug - Sept (Launch)'!B47</f>
        <v>YouTube</v>
      </c>
      <c r="H35" s="66">
        <f>'Phase 1 - Aug - Sept (Launch)'!Y47</f>
        <v>4000</v>
      </c>
      <c r="I35" s="69">
        <f t="shared" si="1"/>
        <v>15040</v>
      </c>
      <c r="J35" s="70"/>
      <c r="K35" s="3"/>
      <c r="L35" s="109"/>
      <c r="M35" s="11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91"/>
      <c r="C36" s="92"/>
      <c r="D36" s="76"/>
      <c r="E36" s="51"/>
      <c r="F36" s="52"/>
      <c r="G36" s="65" t="str">
        <f>'Phase 1 - Aug - Sept (Launch)'!B48</f>
        <v>Google Pmax</v>
      </c>
      <c r="H36" s="66">
        <f>'Phase 1 - Aug - Sept (Launch)'!Y48</f>
        <v>6000</v>
      </c>
      <c r="I36" s="69">
        <f t="shared" si="1"/>
        <v>22560</v>
      </c>
      <c r="J36" s="70"/>
      <c r="K36" s="3"/>
      <c r="L36" s="109"/>
      <c r="M36" s="11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91"/>
      <c r="C37" s="92"/>
      <c r="D37" s="56"/>
      <c r="E37" s="114" t="s">
        <v>138</v>
      </c>
      <c r="F37" s="97"/>
      <c r="G37" s="68"/>
      <c r="H37" s="117">
        <f t="shared" ref="H37:I37" si="2">SUM(H15:H36)</f>
        <v>357963</v>
      </c>
      <c r="I37" s="119">
        <f t="shared" si="2"/>
        <v>1345940.88</v>
      </c>
      <c r="J37" s="70"/>
      <c r="K37" s="3"/>
      <c r="L37" s="109"/>
      <c r="M37" s="11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91"/>
      <c r="C38" s="92"/>
      <c r="D38" s="62" t="s">
        <v>140</v>
      </c>
      <c r="E38" s="120" t="s">
        <v>53</v>
      </c>
      <c r="F38" s="48"/>
      <c r="G38" s="65" t="str">
        <f>'Song and Mascot Promotion'!B18</f>
        <v>Snapchat</v>
      </c>
      <c r="H38" s="66">
        <f>'Song and Mascot Promotion'!Z18</f>
        <v>35000</v>
      </c>
      <c r="I38" s="69">
        <f t="shared" ref="I38:I46" si="3">H38*3.76</f>
        <v>131600</v>
      </c>
      <c r="J38" s="70"/>
      <c r="K38" s="3"/>
      <c r="L38" s="109"/>
      <c r="M38" s="110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91"/>
      <c r="C39" s="92"/>
      <c r="D39" s="76"/>
      <c r="E39" s="77"/>
      <c r="F39" s="78"/>
      <c r="G39" s="65" t="str">
        <f>'Song and Mascot Promotion'!B19</f>
        <v>YouTube</v>
      </c>
      <c r="H39" s="66">
        <f>'Song and Mascot Promotion'!Z19</f>
        <v>20000</v>
      </c>
      <c r="I39" s="69">
        <f t="shared" si="3"/>
        <v>75200</v>
      </c>
      <c r="J39" s="70"/>
      <c r="K39" s="3"/>
      <c r="L39" s="109"/>
      <c r="M39" s="11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91"/>
      <c r="C40" s="92"/>
      <c r="D40" s="76"/>
      <c r="E40" s="77"/>
      <c r="F40" s="78"/>
      <c r="G40" s="65" t="str">
        <f>'Song and Mascot Promotion'!B20</f>
        <v>Programmatic (Anghami)</v>
      </c>
      <c r="H40" s="66">
        <f>'Song and Mascot Promotion'!Z20</f>
        <v>20000</v>
      </c>
      <c r="I40" s="69">
        <f t="shared" si="3"/>
        <v>75200</v>
      </c>
      <c r="J40" s="70"/>
      <c r="K40" s="3"/>
      <c r="L40" s="109"/>
      <c r="M40" s="110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91"/>
      <c r="C41" s="92"/>
      <c r="D41" s="76"/>
      <c r="E41" s="51"/>
      <c r="F41" s="52"/>
      <c r="G41" s="65" t="str">
        <f>'Song and Mascot Promotion'!B21</f>
        <v>Programmatic (TMV)</v>
      </c>
      <c r="H41" s="66">
        <f>'Song and Mascot Promotion'!Z21</f>
        <v>10000</v>
      </c>
      <c r="I41" s="69">
        <f t="shared" si="3"/>
        <v>37600</v>
      </c>
      <c r="J41" s="70"/>
      <c r="K41" s="3"/>
      <c r="L41" s="126"/>
      <c r="M41" s="127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91"/>
      <c r="C42" s="92"/>
      <c r="D42" s="76"/>
      <c r="E42" s="120" t="s">
        <v>99</v>
      </c>
      <c r="F42" s="48"/>
      <c r="G42" s="65" t="str">
        <f t="array" ref="G42:G44">'Song and Mascot Promotion'!B25:B27</f>
        <v>Programmatic (Spotify) Song Promotion</v>
      </c>
      <c r="H42" s="66">
        <f>'Song and Mascot Promotion'!Z25</f>
        <v>13000</v>
      </c>
      <c r="I42" s="69">
        <f t="shared" si="3"/>
        <v>48880</v>
      </c>
      <c r="J42" s="7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91"/>
      <c r="C43" s="92"/>
      <c r="D43" s="76"/>
      <c r="E43" s="77"/>
      <c r="F43" s="78"/>
      <c r="G43" s="65" t="s">
        <v>111</v>
      </c>
      <c r="H43" s="66">
        <f>'Song and Mascot Promotion'!Z26</f>
        <v>10000</v>
      </c>
      <c r="I43" s="69">
        <f t="shared" si="3"/>
        <v>37600</v>
      </c>
      <c r="J43" s="7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91"/>
      <c r="C44" s="92"/>
      <c r="D44" s="76"/>
      <c r="E44" s="77"/>
      <c r="F44" s="78"/>
      <c r="G44" s="65" t="s">
        <v>116</v>
      </c>
      <c r="H44" s="66">
        <f>'Song and Mascot Promotion'!Z27</f>
        <v>9000</v>
      </c>
      <c r="I44" s="69">
        <f t="shared" si="3"/>
        <v>33840</v>
      </c>
      <c r="J44" s="7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91"/>
      <c r="C45" s="92"/>
      <c r="D45" s="76"/>
      <c r="E45" s="51"/>
      <c r="F45" s="52"/>
      <c r="G45" s="65" t="str">
        <f>'Song and Mascot Promotion'!B28</f>
        <v>Programmatic (TMV)</v>
      </c>
      <c r="H45" s="66">
        <f>'Song and Mascot Promotion'!Z28</f>
        <v>7000</v>
      </c>
      <c r="I45" s="69">
        <f t="shared" si="3"/>
        <v>26320</v>
      </c>
      <c r="J45" s="7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91"/>
      <c r="C46" s="92"/>
      <c r="D46" s="76"/>
      <c r="E46" s="120" t="s">
        <v>131</v>
      </c>
      <c r="F46" s="48"/>
      <c r="G46" s="65" t="str">
        <f>'Song and Mascot Promotion'!B32</f>
        <v>Programmatic (TMV)</v>
      </c>
      <c r="H46" s="66">
        <f>'Song and Mascot Promotion'!Z32</f>
        <v>4000</v>
      </c>
      <c r="I46" s="69">
        <f t="shared" si="3"/>
        <v>15040</v>
      </c>
      <c r="J46" s="7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91"/>
      <c r="C47" s="92"/>
      <c r="D47" s="56"/>
      <c r="E47" s="114" t="s">
        <v>142</v>
      </c>
      <c r="F47" s="97"/>
      <c r="G47" s="68"/>
      <c r="H47" s="128">
        <f t="shared" ref="H47:I47" si="4">SUM(H38:H46)</f>
        <v>128000</v>
      </c>
      <c r="I47" s="119">
        <f t="shared" si="4"/>
        <v>481280</v>
      </c>
      <c r="J47" s="7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91"/>
      <c r="C48" s="92"/>
      <c r="D48" s="62" t="s">
        <v>143</v>
      </c>
      <c r="E48" s="64" t="s">
        <v>53</v>
      </c>
      <c r="F48" s="48"/>
      <c r="G48" s="65" t="str">
        <f>'Phase 2 - Sep - Oct'!B18</f>
        <v>META</v>
      </c>
      <c r="H48" s="66">
        <f>'Phase 2 - Sep - Oct'!Y18</f>
        <v>18000</v>
      </c>
      <c r="I48" s="69">
        <f t="shared" ref="I48:I69" si="5">H48*3.76</f>
        <v>67680</v>
      </c>
      <c r="J48" s="7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91"/>
      <c r="C49" s="92"/>
      <c r="D49" s="76"/>
      <c r="E49" s="77"/>
      <c r="F49" s="78"/>
      <c r="G49" s="65" t="str">
        <f>'Phase 2 - Sep - Oct'!B19</f>
        <v>TikTok</v>
      </c>
      <c r="H49" s="66">
        <f>'Phase 2 - Sep - Oct'!Y19</f>
        <v>18000</v>
      </c>
      <c r="I49" s="69">
        <f t="shared" si="5"/>
        <v>67680</v>
      </c>
      <c r="J49" s="7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91"/>
      <c r="C50" s="92"/>
      <c r="D50" s="76"/>
      <c r="E50" s="77"/>
      <c r="F50" s="78"/>
      <c r="G50" s="65" t="str">
        <f>'Phase 2 - Sep - Oct'!B20</f>
        <v>Snapchat</v>
      </c>
      <c r="H50" s="66">
        <f>'Phase 2 - Sep - Oct'!Y20</f>
        <v>18000</v>
      </c>
      <c r="I50" s="69">
        <f t="shared" si="5"/>
        <v>67680</v>
      </c>
      <c r="J50" s="7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91"/>
      <c r="C51" s="92"/>
      <c r="D51" s="76"/>
      <c r="E51" s="77"/>
      <c r="F51" s="78"/>
      <c r="G51" s="65" t="str">
        <f>'Phase 2 - Sep - Oct'!B21</f>
        <v>YouTube</v>
      </c>
      <c r="H51" s="66">
        <f>'Phase 2 - Sep - Oct'!Y21</f>
        <v>18000</v>
      </c>
      <c r="I51" s="69">
        <f t="shared" si="5"/>
        <v>67680</v>
      </c>
      <c r="J51" s="7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91"/>
      <c r="C52" s="92"/>
      <c r="D52" s="76"/>
      <c r="E52" s="77"/>
      <c r="F52" s="78"/>
      <c r="G52" s="65" t="str">
        <f>'Phase 2 - Sep - Oct'!B22</f>
        <v>Programmatic</v>
      </c>
      <c r="H52" s="66">
        <f>'Phase 2 - Sep - Oct'!Y22</f>
        <v>40000</v>
      </c>
      <c r="I52" s="69">
        <f t="shared" si="5"/>
        <v>150400</v>
      </c>
      <c r="J52" s="70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91"/>
      <c r="C53" s="92"/>
      <c r="D53" s="76"/>
      <c r="E53" s="77"/>
      <c r="F53" s="78"/>
      <c r="G53" s="65" t="str">
        <f>'Phase 2 - Sep - Oct'!B23</f>
        <v>X</v>
      </c>
      <c r="H53" s="66">
        <f>'Phase 2 - Sep - Oct'!Y23</f>
        <v>16000</v>
      </c>
      <c r="I53" s="69">
        <f t="shared" si="5"/>
        <v>60160</v>
      </c>
      <c r="J53" s="70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91"/>
      <c r="C54" s="92"/>
      <c r="D54" s="76"/>
      <c r="E54" s="77"/>
      <c r="F54" s="78"/>
      <c r="G54" s="65" t="str">
        <f>'Phase 2 - Sep - Oct'!B24</f>
        <v>Programmatic (Videx Gaming)</v>
      </c>
      <c r="H54" s="66">
        <f>'Phase 2 - Sep - Oct'!Y24</f>
        <v>14000</v>
      </c>
      <c r="I54" s="69">
        <f t="shared" si="5"/>
        <v>52640</v>
      </c>
      <c r="J54" s="70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91"/>
      <c r="C55" s="92"/>
      <c r="D55" s="76"/>
      <c r="E55" s="77"/>
      <c r="F55" s="78"/>
      <c r="G55" s="65" t="str">
        <f>'Phase 2 - Sep - Oct'!B25</f>
        <v>Google</v>
      </c>
      <c r="H55" s="66">
        <f>'Phase 2 - Sep - Oct'!Y25</f>
        <v>12000</v>
      </c>
      <c r="I55" s="69">
        <f t="shared" si="5"/>
        <v>45120</v>
      </c>
      <c r="J55" s="7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91"/>
      <c r="C56" s="92"/>
      <c r="D56" s="76"/>
      <c r="E56" s="77"/>
      <c r="F56" s="78"/>
      <c r="G56" s="65" t="str">
        <f>'Phase 2 - Sep - Oct'!B26</f>
        <v>Google </v>
      </c>
      <c r="H56" s="66">
        <f>'Phase 2 - Sep - Oct'!Y26</f>
        <v>12000</v>
      </c>
      <c r="I56" s="69">
        <f t="shared" si="5"/>
        <v>45120</v>
      </c>
      <c r="J56" s="7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91"/>
      <c r="C57" s="92"/>
      <c r="D57" s="76"/>
      <c r="E57" s="77"/>
      <c r="F57" s="78"/>
      <c r="G57" s="65" t="str">
        <f>'Phase 2 - Sep - Oct'!B27</f>
        <v>META</v>
      </c>
      <c r="H57" s="66">
        <f>'Phase 2 - Sep - Oct'!Y27</f>
        <v>13000</v>
      </c>
      <c r="I57" s="69">
        <f t="shared" si="5"/>
        <v>48880</v>
      </c>
      <c r="J57" s="70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91"/>
      <c r="C58" s="92"/>
      <c r="D58" s="76"/>
      <c r="E58" s="77"/>
      <c r="F58" s="78"/>
      <c r="G58" s="65" t="str">
        <f>'Phase 2 - Sep - Oct'!B28</f>
        <v>TikTok</v>
      </c>
      <c r="H58" s="66">
        <f>'Phase 2 - Sep - Oct'!Y28</f>
        <v>13000</v>
      </c>
      <c r="I58" s="69">
        <f t="shared" si="5"/>
        <v>48880</v>
      </c>
      <c r="J58" s="70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91"/>
      <c r="C59" s="92"/>
      <c r="D59" s="76"/>
      <c r="E59" s="64" t="s">
        <v>99</v>
      </c>
      <c r="F59" s="48"/>
      <c r="G59" s="65" t="str">
        <f>'Phase 2 - Sep - Oct'!B32</f>
        <v>META</v>
      </c>
      <c r="H59" s="66">
        <f>'Phase 2 - Sep - Oct'!Y32</f>
        <v>6000</v>
      </c>
      <c r="I59" s="69">
        <f t="shared" si="5"/>
        <v>22560</v>
      </c>
      <c r="J59" s="7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91"/>
      <c r="C60" s="92"/>
      <c r="D60" s="76"/>
      <c r="E60" s="77"/>
      <c r="F60" s="78"/>
      <c r="G60" s="65" t="str">
        <f>'Phase 2 - Sep - Oct'!B33</f>
        <v>YouTube</v>
      </c>
      <c r="H60" s="66">
        <f>'Phase 2 - Sep - Oct'!Y33</f>
        <v>8000</v>
      </c>
      <c r="I60" s="69">
        <f t="shared" si="5"/>
        <v>30080</v>
      </c>
      <c r="J60" s="7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91"/>
      <c r="C61" s="92"/>
      <c r="D61" s="76"/>
      <c r="E61" s="77"/>
      <c r="F61" s="78"/>
      <c r="G61" s="65" t="str">
        <f>'Phase 2 - Sep - Oct'!B34</f>
        <v>Programmatic (Videx Gaming)</v>
      </c>
      <c r="H61" s="66">
        <f>'Phase 2 - Sep - Oct'!Y34</f>
        <v>7000</v>
      </c>
      <c r="I61" s="69">
        <f t="shared" si="5"/>
        <v>26320</v>
      </c>
      <c r="J61" s="7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91"/>
      <c r="C62" s="92"/>
      <c r="D62" s="76"/>
      <c r="E62" s="51"/>
      <c r="F62" s="52"/>
      <c r="G62" s="65" t="str">
        <f>'Phase 2 - Sep - Oct'!B35</f>
        <v>Google </v>
      </c>
      <c r="H62" s="66">
        <f>'Phase 2 - Sep - Oct'!Y35</f>
        <v>7000</v>
      </c>
      <c r="I62" s="69">
        <f t="shared" si="5"/>
        <v>26320</v>
      </c>
      <c r="J62" s="7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91"/>
      <c r="C63" s="92"/>
      <c r="D63" s="76"/>
      <c r="E63" s="64" t="s">
        <v>131</v>
      </c>
      <c r="F63" s="48"/>
      <c r="G63" s="65" t="str">
        <f>'Phase 2 - Sep - Oct'!B39</f>
        <v>META</v>
      </c>
      <c r="H63" s="66">
        <f>'Phase 2 - Sep - Oct'!Y39</f>
        <v>5000</v>
      </c>
      <c r="I63" s="69">
        <f t="shared" si="5"/>
        <v>18800</v>
      </c>
      <c r="J63" s="70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91"/>
      <c r="C64" s="92"/>
      <c r="D64" s="76"/>
      <c r="E64" s="77"/>
      <c r="F64" s="78"/>
      <c r="G64" s="65" t="str">
        <f>'Phase 2 - Sep - Oct'!B40</f>
        <v>YouTube</v>
      </c>
      <c r="H64" s="66">
        <f>'Phase 2 - Sep - Oct'!Y40</f>
        <v>4000</v>
      </c>
      <c r="I64" s="69">
        <f t="shared" si="5"/>
        <v>15040</v>
      </c>
      <c r="J64" s="7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91"/>
      <c r="C65" s="92"/>
      <c r="D65" s="76"/>
      <c r="E65" s="77"/>
      <c r="F65" s="78"/>
      <c r="G65" s="65" t="str">
        <f>'Phase 2 - Sep - Oct'!B41</f>
        <v>Programmatic (Videx Gaming)</v>
      </c>
      <c r="H65" s="66">
        <f>'Phase 2 - Sep - Oct'!Y41</f>
        <v>5000</v>
      </c>
      <c r="I65" s="69">
        <f t="shared" si="5"/>
        <v>18800</v>
      </c>
      <c r="J65" s="129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91"/>
      <c r="C66" s="92"/>
      <c r="D66" s="76"/>
      <c r="E66" s="51"/>
      <c r="F66" s="52"/>
      <c r="G66" s="65" t="str">
        <f>'Phase 2 - Sep - Oct'!B42</f>
        <v>Google </v>
      </c>
      <c r="H66" s="66">
        <f>'Phase 2 - Sep - Oct'!Y42</f>
        <v>3500</v>
      </c>
      <c r="I66" s="69">
        <f t="shared" si="5"/>
        <v>13160</v>
      </c>
      <c r="J66" s="70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91"/>
      <c r="C67" s="92"/>
      <c r="D67" s="76"/>
      <c r="E67" s="64" t="s">
        <v>135</v>
      </c>
      <c r="F67" s="48"/>
      <c r="G67" s="65" t="str">
        <f>'Phase 2 - Sep - Oct'!B46</f>
        <v>META</v>
      </c>
      <c r="H67" s="66">
        <f>'Phase 2 - Sep - Oct'!Y46</f>
        <v>3000</v>
      </c>
      <c r="I67" s="69">
        <f t="shared" si="5"/>
        <v>11280</v>
      </c>
      <c r="J67" s="7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91"/>
      <c r="C68" s="92"/>
      <c r="D68" s="76"/>
      <c r="E68" s="77"/>
      <c r="F68" s="78"/>
      <c r="G68" s="65" t="str">
        <f>'Phase 2 - Sep - Oct'!B47</f>
        <v>YouTube</v>
      </c>
      <c r="H68" s="66">
        <f>'Phase 2 - Sep - Oct'!Y47</f>
        <v>3000</v>
      </c>
      <c r="I68" s="69">
        <f t="shared" si="5"/>
        <v>11280</v>
      </c>
      <c r="J68" s="7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91"/>
      <c r="C69" s="92"/>
      <c r="D69" s="76"/>
      <c r="E69" s="51"/>
      <c r="F69" s="52"/>
      <c r="G69" s="65" t="str">
        <f>'Phase 2 - Sep - Oct'!B48</f>
        <v>Google </v>
      </c>
      <c r="H69" s="66">
        <f>'Phase 2 - Sep - Oct'!Y48</f>
        <v>4000</v>
      </c>
      <c r="I69" s="69">
        <f t="shared" si="5"/>
        <v>15040</v>
      </c>
      <c r="J69" s="7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91"/>
      <c r="C70" s="92"/>
      <c r="D70" s="56"/>
      <c r="E70" s="114" t="s">
        <v>138</v>
      </c>
      <c r="F70" s="97"/>
      <c r="G70" s="68"/>
      <c r="H70" s="117">
        <f t="shared" ref="H70:I70" si="6">SUM(H48:H69)</f>
        <v>247500</v>
      </c>
      <c r="I70" s="119">
        <f t="shared" si="6"/>
        <v>930600</v>
      </c>
      <c r="J70" s="7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91"/>
      <c r="C71" s="92"/>
      <c r="D71" s="92"/>
      <c r="E71" s="92"/>
      <c r="F71" s="130"/>
      <c r="G71" s="131" t="s">
        <v>145</v>
      </c>
      <c r="H71" s="132">
        <f t="shared" ref="H71:I71" si="7">SUM(H37,H47,H70)</f>
        <v>733463</v>
      </c>
      <c r="I71" s="133">
        <f t="shared" si="7"/>
        <v>2757820.88</v>
      </c>
      <c r="J71" s="134"/>
      <c r="K71" s="135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91"/>
      <c r="C72" s="92"/>
      <c r="D72" s="92"/>
      <c r="E72" s="92"/>
      <c r="F72" s="130"/>
      <c r="G72" s="131" t="s">
        <v>146</v>
      </c>
      <c r="H72" s="132">
        <f>SUM('Phase 1 - Aug - Sept (Launch)'!Y52,'Song and Mascot Promotion'!Z37,'Phase 2 - Sep - Oct'!Y52)</f>
        <v>3600</v>
      </c>
      <c r="I72" s="133">
        <f>H72*3.76</f>
        <v>13536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91"/>
      <c r="C73" s="92"/>
      <c r="D73" s="92"/>
      <c r="E73" s="92"/>
      <c r="F73" s="130"/>
      <c r="G73" s="131" t="s">
        <v>147</v>
      </c>
      <c r="H73" s="132">
        <f t="shared" ref="H73:I73" si="8">(H71+H72)*1%</f>
        <v>7370.63</v>
      </c>
      <c r="I73" s="133">
        <f t="shared" si="8"/>
        <v>27713.5688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91"/>
      <c r="C74" s="92"/>
      <c r="D74" s="92"/>
      <c r="E74" s="92"/>
      <c r="F74" s="130"/>
      <c r="G74" s="136" t="s">
        <v>148</v>
      </c>
      <c r="H74" s="137">
        <f t="shared" ref="H74:I74" si="9">SUM(H71:H73)</f>
        <v>744433.63</v>
      </c>
      <c r="I74" s="138">
        <f t="shared" si="9"/>
        <v>2799070.449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91"/>
      <c r="C75" s="92"/>
      <c r="D75" s="92"/>
      <c r="E75" s="92"/>
      <c r="F75" s="130"/>
      <c r="G75" s="131" t="s">
        <v>149</v>
      </c>
      <c r="H75" s="132">
        <f t="shared" ref="H75:I75" si="10">H74*15%</f>
        <v>111665.0445</v>
      </c>
      <c r="I75" s="133">
        <f t="shared" si="10"/>
        <v>419860.5673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91"/>
      <c r="C76" s="92"/>
      <c r="D76" s="92"/>
      <c r="E76" s="92"/>
      <c r="F76" s="130"/>
      <c r="G76" s="131" t="s">
        <v>150</v>
      </c>
      <c r="H76" s="132">
        <f t="shared" ref="H76:I76" si="11">SUM(H74,H75)</f>
        <v>856098.6745</v>
      </c>
      <c r="I76" s="133">
        <f t="shared" si="11"/>
        <v>3218931.016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139" t="s">
        <v>151</v>
      </c>
      <c r="F77" s="97"/>
      <c r="G77" s="68"/>
      <c r="H77" s="140">
        <f>I77/3.76</f>
        <v>856098.6745</v>
      </c>
      <c r="I77" s="141">
        <f>I76</f>
        <v>3218931.016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E15:F26"/>
    <mergeCell ref="E27:F30"/>
    <mergeCell ref="B13:C14"/>
    <mergeCell ref="D13:D14"/>
    <mergeCell ref="E13:F14"/>
    <mergeCell ref="G13:G14"/>
    <mergeCell ref="H13:H14"/>
    <mergeCell ref="I13:I14"/>
    <mergeCell ref="D15:D37"/>
    <mergeCell ref="E37:G37"/>
    <mergeCell ref="E46:F46"/>
    <mergeCell ref="E48:F58"/>
    <mergeCell ref="E59:F62"/>
    <mergeCell ref="E63:F66"/>
    <mergeCell ref="E67:F69"/>
    <mergeCell ref="E70:G70"/>
    <mergeCell ref="E77:G77"/>
    <mergeCell ref="E31:F33"/>
    <mergeCell ref="E34:F36"/>
    <mergeCell ref="D38:D47"/>
    <mergeCell ref="E38:F41"/>
    <mergeCell ref="E42:F45"/>
    <mergeCell ref="E47:G47"/>
    <mergeCell ref="D48:D70"/>
  </mergeCells>
  <conditionalFormatting sqref="C5:C6">
    <cfRule type="containsBlanks" dxfId="0" priority="1">
      <formula>LEN(TRIM(C5))=0</formula>
    </cfRule>
  </conditionalFormatting>
  <printOptions/>
  <pageMargins bottom="0.75" footer="0.0" header="0.0" left="0.7" right="0.7" top="0.75"/>
  <pageSetup paperSize="9" orientation="landscape"/>
  <headerFooter>
    <oddFooter>&amp;C_x000D_#000000 Confidential - Not for Public Consumption or Distribution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27.0"/>
    <col customWidth="1" min="3" max="3" width="25.75"/>
    <col customWidth="1" min="4" max="4" width="16.5"/>
    <col customWidth="1" min="5" max="18" width="21.13"/>
    <col customWidth="1" hidden="1" min="19" max="23" width="21.13"/>
    <col customWidth="1" min="24" max="24" width="21.13"/>
    <col customWidth="1" min="25" max="25" width="24.5"/>
    <col customWidth="1" min="26" max="26" width="24.63"/>
    <col customWidth="1" min="27" max="27" width="18.5"/>
    <col customWidth="1" min="28" max="29" width="12.88"/>
  </cols>
  <sheetData>
    <row r="1" ht="19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"/>
      <c r="X1" s="5"/>
      <c r="Y1" s="5"/>
      <c r="Z1" s="6"/>
      <c r="AA1" s="1"/>
      <c r="AB1" s="1"/>
      <c r="AC1" s="1"/>
    </row>
    <row r="2" ht="19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"/>
      <c r="X2" s="5"/>
      <c r="Y2" s="5"/>
      <c r="Z2" s="6"/>
      <c r="AA2" s="1"/>
      <c r="AB2" s="1"/>
      <c r="AC2" s="1"/>
    </row>
    <row r="3" ht="19.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4"/>
      <c r="X3" s="5"/>
      <c r="Y3" s="5"/>
      <c r="Z3" s="6"/>
      <c r="AA3" s="1"/>
      <c r="AB3" s="1"/>
      <c r="AC3" s="1"/>
    </row>
    <row r="4" ht="19.5" customHeight="1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4"/>
      <c r="X4" s="5"/>
      <c r="Y4" s="5"/>
      <c r="Z4" s="6"/>
      <c r="AA4" s="1"/>
      <c r="AB4" s="1"/>
      <c r="AC4" s="1"/>
    </row>
    <row r="5" ht="19.5" customHeight="1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4"/>
      <c r="X5" s="5"/>
      <c r="Y5" s="5"/>
      <c r="Z5" s="6"/>
      <c r="AA5" s="1"/>
      <c r="AB5" s="1"/>
      <c r="AC5" s="1"/>
    </row>
    <row r="6" ht="19.5" customHeight="1">
      <c r="A6" s="10"/>
      <c r="B6" s="12" t="s">
        <v>3</v>
      </c>
      <c r="C6" s="14" t="s">
        <v>4</v>
      </c>
      <c r="D6" s="10"/>
      <c r="E6" s="1"/>
      <c r="F6" s="1"/>
      <c r="G6" s="10"/>
      <c r="H6" s="10"/>
      <c r="I6" s="10"/>
      <c r="J6" s="17"/>
      <c r="K6" s="17"/>
      <c r="L6" s="17"/>
      <c r="M6" s="17"/>
      <c r="N6" s="17"/>
      <c r="O6" s="10"/>
      <c r="P6" s="10"/>
      <c r="Q6" s="10"/>
      <c r="R6" s="10"/>
      <c r="S6" s="10"/>
      <c r="T6" s="10"/>
      <c r="U6" s="10"/>
      <c r="V6" s="1"/>
      <c r="W6" s="19"/>
      <c r="X6" s="20"/>
      <c r="Y6" s="20"/>
      <c r="Z6" s="21"/>
      <c r="AA6" s="10"/>
      <c r="AB6" s="10"/>
      <c r="AC6" s="10"/>
    </row>
    <row r="7" ht="19.5" customHeight="1">
      <c r="A7" s="10"/>
      <c r="B7" s="12" t="s">
        <v>7</v>
      </c>
      <c r="C7" s="18" t="s">
        <v>8</v>
      </c>
      <c r="D7" s="10"/>
      <c r="E7" s="1"/>
      <c r="F7" s="1"/>
      <c r="G7" s="10"/>
      <c r="H7" s="10"/>
      <c r="I7" s="10"/>
      <c r="J7" s="17"/>
      <c r="K7" s="17"/>
      <c r="L7" s="17"/>
      <c r="M7" s="17"/>
      <c r="N7" s="17"/>
      <c r="O7" s="10"/>
      <c r="P7" s="10"/>
      <c r="Q7" s="10"/>
      <c r="R7" s="10"/>
      <c r="S7" s="10"/>
      <c r="T7" s="10"/>
      <c r="U7" s="10"/>
      <c r="V7" s="1"/>
      <c r="W7" s="19"/>
      <c r="X7" s="20"/>
      <c r="Y7" s="20"/>
      <c r="Z7" s="21"/>
      <c r="AA7" s="10"/>
      <c r="AB7" s="10"/>
      <c r="AC7" s="10"/>
    </row>
    <row r="8" ht="19.5" customHeight="1">
      <c r="A8" s="10"/>
      <c r="B8" s="12" t="s">
        <v>9</v>
      </c>
      <c r="C8" s="24" t="s">
        <v>11</v>
      </c>
      <c r="D8" s="10"/>
      <c r="E8" s="1"/>
      <c r="F8" s="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9"/>
      <c r="X8" s="20"/>
      <c r="Y8" s="20"/>
      <c r="Z8" s="21"/>
      <c r="AA8" s="10"/>
      <c r="AB8" s="10"/>
      <c r="AC8" s="10"/>
    </row>
    <row r="9" ht="19.5" customHeight="1">
      <c r="A9" s="28"/>
      <c r="B9" s="12" t="s">
        <v>15</v>
      </c>
      <c r="C9" s="14" t="s">
        <v>16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9"/>
      <c r="X9" s="30"/>
      <c r="Y9" s="30"/>
      <c r="Z9" s="31"/>
      <c r="AA9" s="28"/>
      <c r="AB9" s="28"/>
      <c r="AC9" s="28"/>
    </row>
    <row r="10" ht="19.5" customHeight="1">
      <c r="A10" s="28"/>
      <c r="B10" s="12" t="s">
        <v>19</v>
      </c>
      <c r="C10" s="32" t="s">
        <v>20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9"/>
      <c r="X10" s="34"/>
      <c r="Y10" s="30"/>
      <c r="Z10" s="35"/>
      <c r="AA10" s="28"/>
      <c r="AB10" s="28"/>
      <c r="AC10" s="28"/>
    </row>
    <row r="11" ht="19.5" customHeight="1">
      <c r="A11" s="28"/>
      <c r="B11" s="12" t="s">
        <v>21</v>
      </c>
      <c r="C11" s="14" t="str">
        <f>'[36]Approval Form'!C10</f>
        <v>#REF!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9"/>
      <c r="X11" s="37"/>
      <c r="Y11" s="37"/>
      <c r="Z11" s="31"/>
      <c r="AA11" s="28"/>
      <c r="AB11" s="28"/>
      <c r="AC11" s="28"/>
    </row>
    <row r="12" ht="19.5" customHeight="1">
      <c r="A12" s="28"/>
      <c r="B12" s="38" t="s">
        <v>23</v>
      </c>
      <c r="C12" s="41">
        <f>TODAY()</f>
        <v>46258</v>
      </c>
      <c r="D12" s="10"/>
      <c r="E12" s="10"/>
      <c r="F12" s="10"/>
      <c r="G12" s="10"/>
      <c r="H12" s="10"/>
      <c r="I12" s="19"/>
      <c r="J12" s="10"/>
      <c r="K12" s="10"/>
      <c r="L12" s="10"/>
      <c r="M12" s="10"/>
      <c r="N12" s="10"/>
      <c r="O12" s="10"/>
      <c r="P12" s="10"/>
      <c r="Q12" s="10"/>
      <c r="R12" s="44"/>
      <c r="S12" s="44"/>
      <c r="T12" s="44"/>
      <c r="U12" s="44"/>
      <c r="V12" s="10"/>
      <c r="W12" s="19"/>
      <c r="X12" s="30"/>
      <c r="Y12" s="35"/>
      <c r="Z12" s="31"/>
      <c r="AA12" s="28"/>
      <c r="AB12" s="28"/>
      <c r="AC12" s="28"/>
    </row>
    <row r="13" ht="15.0" customHeight="1">
      <c r="A13" s="28"/>
      <c r="B13" s="10"/>
      <c r="C13" s="46"/>
      <c r="D13" s="10"/>
      <c r="E13" s="10"/>
      <c r="F13" s="10"/>
      <c r="G13" s="10"/>
      <c r="H13" s="10"/>
      <c r="I13" s="1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9"/>
      <c r="X13" s="30"/>
      <c r="Y13" s="30"/>
      <c r="Z13" s="31"/>
      <c r="AA13" s="28"/>
      <c r="AB13" s="28"/>
      <c r="AC13" s="28"/>
    </row>
    <row r="14" ht="15.0" customHeight="1">
      <c r="A14" s="1"/>
      <c r="B14" s="49" t="s">
        <v>25</v>
      </c>
      <c r="C14" s="49" t="s">
        <v>27</v>
      </c>
      <c r="D14" s="49" t="s">
        <v>29</v>
      </c>
      <c r="E14" s="49" t="s">
        <v>31</v>
      </c>
      <c r="F14" s="49" t="s">
        <v>33</v>
      </c>
      <c r="G14" s="49" t="s">
        <v>34</v>
      </c>
      <c r="H14" s="49" t="s">
        <v>36</v>
      </c>
      <c r="I14" s="49" t="s">
        <v>37</v>
      </c>
      <c r="J14" s="49" t="s">
        <v>38</v>
      </c>
      <c r="K14" s="49" t="s">
        <v>39</v>
      </c>
      <c r="L14" s="49" t="s">
        <v>40</v>
      </c>
      <c r="M14" s="49" t="s">
        <v>41</v>
      </c>
      <c r="N14" s="49" t="s">
        <v>42</v>
      </c>
      <c r="O14" s="57" t="s">
        <v>43</v>
      </c>
      <c r="P14" s="58" t="s">
        <v>44</v>
      </c>
      <c r="Q14" s="48"/>
      <c r="R14" s="59" t="s">
        <v>45</v>
      </c>
      <c r="S14" s="59" t="s">
        <v>46</v>
      </c>
      <c r="T14" s="59" t="s">
        <v>48</v>
      </c>
      <c r="U14" s="59" t="s">
        <v>49</v>
      </c>
      <c r="V14" s="10"/>
      <c r="W14" s="59" t="s">
        <v>51</v>
      </c>
      <c r="X14" s="63" t="s">
        <v>52</v>
      </c>
      <c r="Y14" s="63" t="s">
        <v>54</v>
      </c>
      <c r="Z14" s="63" t="s">
        <v>55</v>
      </c>
      <c r="AA14" s="1"/>
      <c r="AB14" s="1"/>
      <c r="AC14" s="1"/>
    </row>
    <row r="15" ht="15.0" customHeight="1">
      <c r="A15" s="1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7" t="s">
        <v>56</v>
      </c>
      <c r="P15" s="51"/>
      <c r="Q15" s="52"/>
      <c r="R15" s="56"/>
      <c r="S15" s="56"/>
      <c r="T15" s="56"/>
      <c r="U15" s="56"/>
      <c r="V15" s="10"/>
      <c r="W15" s="56"/>
      <c r="X15" s="56"/>
      <c r="Y15" s="56"/>
      <c r="Z15" s="56"/>
      <c r="AA15" s="1"/>
      <c r="AB15" s="1"/>
      <c r="AC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0" customHeight="1">
      <c r="A17" s="1"/>
      <c r="B17" s="67" t="s">
        <v>53</v>
      </c>
      <c r="C17" s="6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9"/>
      <c r="X17" s="5"/>
      <c r="Y17" s="5"/>
      <c r="Z17" s="6"/>
      <c r="AA17" s="1"/>
      <c r="AB17" s="1"/>
      <c r="AC17" s="1"/>
    </row>
    <row r="18" ht="21.75" customHeight="1">
      <c r="A18" s="1"/>
      <c r="B18" s="72" t="s">
        <v>58</v>
      </c>
      <c r="C18" s="72" t="s">
        <v>59</v>
      </c>
      <c r="D18" s="72" t="s">
        <v>53</v>
      </c>
      <c r="E18" s="72" t="s">
        <v>60</v>
      </c>
      <c r="F18" s="72" t="s">
        <v>61</v>
      </c>
      <c r="G18" s="72" t="s">
        <v>62</v>
      </c>
      <c r="H18" s="72" t="s">
        <v>63</v>
      </c>
      <c r="I18" s="72" t="s">
        <v>64</v>
      </c>
      <c r="J18" s="87" t="s">
        <v>65</v>
      </c>
      <c r="K18" s="75">
        <v>1.9E7</v>
      </c>
      <c r="L18" s="79">
        <f>M18/K18</f>
        <v>0.8421052632</v>
      </c>
      <c r="M18" s="80">
        <f>W18/N18</f>
        <v>16000000</v>
      </c>
      <c r="N18" s="80">
        <v>2.0</v>
      </c>
      <c r="O18" s="72" t="s">
        <v>70</v>
      </c>
      <c r="P18" s="82" t="s">
        <v>78</v>
      </c>
      <c r="Q18" s="82" t="s">
        <v>80</v>
      </c>
      <c r="R18" s="83">
        <f t="shared" ref="R18:R22" si="1">W18</f>
        <v>32000000</v>
      </c>
      <c r="S18" s="84">
        <v>0.02</v>
      </c>
      <c r="T18" s="83">
        <f t="shared" ref="T18:T22" si="2">R18*S18</f>
        <v>640000</v>
      </c>
      <c r="U18" s="86">
        <f t="shared" ref="U18:U20" si="3">W18*0.1%</f>
        <v>32000</v>
      </c>
      <c r="V18" s="10"/>
      <c r="W18" s="83">
        <f>(Y18*1000)/X18</f>
        <v>32000000</v>
      </c>
      <c r="X18" s="88">
        <v>0.5</v>
      </c>
      <c r="Y18" s="93">
        <v>16000.0</v>
      </c>
      <c r="Z18" s="90">
        <f t="shared" ref="Z18:Z29" si="4">Y18*3.76</f>
        <v>60160</v>
      </c>
      <c r="AA18" s="94">
        <f t="shared" ref="AA18:AA30" si="5">Z18/3.76</f>
        <v>16000</v>
      </c>
      <c r="AB18" s="95">
        <f>AA18*0.55</f>
        <v>8800</v>
      </c>
      <c r="AC18" s="95">
        <f>AA18-AB18</f>
        <v>7200</v>
      </c>
    </row>
    <row r="19" ht="22.5" customHeight="1">
      <c r="A19" s="1"/>
      <c r="B19" s="72" t="s">
        <v>81</v>
      </c>
      <c r="C19" s="72" t="s">
        <v>91</v>
      </c>
      <c r="D19" s="72" t="s">
        <v>53</v>
      </c>
      <c r="E19" s="72" t="s">
        <v>60</v>
      </c>
      <c r="F19" s="72" t="s">
        <v>69</v>
      </c>
      <c r="G19" s="72" t="s">
        <v>62</v>
      </c>
      <c r="H19" s="72" t="s">
        <v>63</v>
      </c>
      <c r="I19" s="72" t="s">
        <v>64</v>
      </c>
      <c r="J19" s="87" t="s">
        <v>65</v>
      </c>
      <c r="K19" s="75">
        <v>2.6E7</v>
      </c>
      <c r="L19" s="79">
        <v>0.3</v>
      </c>
      <c r="M19" s="80">
        <f>K19*L19</f>
        <v>7800000</v>
      </c>
      <c r="N19" s="80">
        <v>2.0</v>
      </c>
      <c r="O19" s="72" t="s">
        <v>70</v>
      </c>
      <c r="P19" s="82" t="s">
        <v>92</v>
      </c>
      <c r="Q19" s="82" t="s">
        <v>92</v>
      </c>
      <c r="R19" s="83">
        <f t="shared" si="1"/>
        <v>15600000</v>
      </c>
      <c r="S19" s="84">
        <v>0.04</v>
      </c>
      <c r="T19" s="83">
        <f t="shared" si="2"/>
        <v>624000</v>
      </c>
      <c r="U19" s="86">
        <f t="shared" si="3"/>
        <v>15600</v>
      </c>
      <c r="V19" s="10"/>
      <c r="W19" s="83">
        <f>M19*N19</f>
        <v>15600000</v>
      </c>
      <c r="X19" s="88">
        <v>1.2</v>
      </c>
      <c r="Y19" s="93">
        <f>(W19*X19)/1000</f>
        <v>18720</v>
      </c>
      <c r="Z19" s="90">
        <f t="shared" si="4"/>
        <v>70387.2</v>
      </c>
      <c r="AA19" s="94">
        <f t="shared" si="5"/>
        <v>18720</v>
      </c>
      <c r="AB19" s="1"/>
      <c r="AC19" s="1"/>
    </row>
    <row r="20" ht="24.0" customHeight="1">
      <c r="A20" s="1"/>
      <c r="B20" s="72" t="s">
        <v>66</v>
      </c>
      <c r="C20" s="72" t="s">
        <v>59</v>
      </c>
      <c r="D20" s="72" t="s">
        <v>53</v>
      </c>
      <c r="E20" s="72" t="s">
        <v>60</v>
      </c>
      <c r="F20" s="72" t="s">
        <v>69</v>
      </c>
      <c r="G20" s="72" t="s">
        <v>62</v>
      </c>
      <c r="H20" s="72" t="s">
        <v>63</v>
      </c>
      <c r="I20" s="72" t="s">
        <v>64</v>
      </c>
      <c r="J20" s="87" t="s">
        <v>65</v>
      </c>
      <c r="K20" s="75">
        <v>1.2E7</v>
      </c>
      <c r="L20" s="79">
        <f>M20/K20</f>
        <v>0.4763888889</v>
      </c>
      <c r="M20" s="80">
        <f>W20/N20</f>
        <v>5716666.667</v>
      </c>
      <c r="N20" s="80">
        <v>2.0</v>
      </c>
      <c r="O20" s="72" t="s">
        <v>70</v>
      </c>
      <c r="P20" s="82" t="s">
        <v>78</v>
      </c>
      <c r="Q20" s="82" t="s">
        <v>80</v>
      </c>
      <c r="R20" s="83">
        <f t="shared" si="1"/>
        <v>11433333.33</v>
      </c>
      <c r="S20" s="84">
        <v>0.02</v>
      </c>
      <c r="T20" s="83">
        <f t="shared" si="2"/>
        <v>228666.6667</v>
      </c>
      <c r="U20" s="86">
        <f t="shared" si="3"/>
        <v>11433.33333</v>
      </c>
      <c r="V20" s="10"/>
      <c r="W20" s="83">
        <f>(Y20*1000)/X20</f>
        <v>11433333.33</v>
      </c>
      <c r="X20" s="88">
        <v>1.5</v>
      </c>
      <c r="Y20" s="93">
        <v>17150.0</v>
      </c>
      <c r="Z20" s="90">
        <f t="shared" si="4"/>
        <v>64484</v>
      </c>
      <c r="AA20" s="94">
        <f t="shared" si="5"/>
        <v>17150</v>
      </c>
      <c r="AB20" s="102">
        <f>AA20*0.6</f>
        <v>10290</v>
      </c>
      <c r="AC20" s="102">
        <f>AA20-AB20</f>
        <v>6860</v>
      </c>
    </row>
    <row r="21" ht="24.0" customHeight="1">
      <c r="A21" s="1"/>
      <c r="B21" s="72" t="s">
        <v>100</v>
      </c>
      <c r="C21" s="72" t="s">
        <v>102</v>
      </c>
      <c r="D21" s="72" t="s">
        <v>53</v>
      </c>
      <c r="E21" s="72" t="s">
        <v>103</v>
      </c>
      <c r="F21" s="72" t="s">
        <v>69</v>
      </c>
      <c r="G21" s="72" t="s">
        <v>62</v>
      </c>
      <c r="H21" s="72" t="s">
        <v>63</v>
      </c>
      <c r="I21" s="72" t="s">
        <v>86</v>
      </c>
      <c r="J21" s="87" t="s">
        <v>107</v>
      </c>
      <c r="K21" s="75">
        <v>2.4E7</v>
      </c>
      <c r="L21" s="79">
        <v>0.35</v>
      </c>
      <c r="M21" s="80">
        <f>K21*L21</f>
        <v>8400000</v>
      </c>
      <c r="N21" s="80">
        <v>3.0</v>
      </c>
      <c r="O21" s="72" t="s">
        <v>70</v>
      </c>
      <c r="P21" s="82" t="s">
        <v>109</v>
      </c>
      <c r="Q21" s="82" t="s">
        <v>109</v>
      </c>
      <c r="R21" s="83">
        <f t="shared" si="1"/>
        <v>2500000</v>
      </c>
      <c r="S21" s="84">
        <v>0.8</v>
      </c>
      <c r="T21" s="83">
        <f t="shared" si="2"/>
        <v>2000000</v>
      </c>
      <c r="U21" s="86" t="s">
        <v>20</v>
      </c>
      <c r="V21" s="10"/>
      <c r="W21" s="83">
        <v>2500000.0</v>
      </c>
      <c r="X21" s="88" t="s">
        <v>110</v>
      </c>
      <c r="Y21" s="93">
        <v>17000.0</v>
      </c>
      <c r="Z21" s="90">
        <f t="shared" si="4"/>
        <v>63920</v>
      </c>
      <c r="AA21" s="94">
        <f t="shared" si="5"/>
        <v>17000</v>
      </c>
      <c r="AB21" s="1"/>
      <c r="AC21" s="1"/>
    </row>
    <row r="22" ht="24.0" customHeight="1">
      <c r="A22" s="1"/>
      <c r="B22" s="72" t="s">
        <v>105</v>
      </c>
      <c r="C22" s="72" t="s">
        <v>59</v>
      </c>
      <c r="D22" s="72" t="s">
        <v>53</v>
      </c>
      <c r="E22" s="72" t="s">
        <v>60</v>
      </c>
      <c r="F22" s="72" t="s">
        <v>69</v>
      </c>
      <c r="G22" s="72" t="s">
        <v>62</v>
      </c>
      <c r="H22" s="72" t="s">
        <v>63</v>
      </c>
      <c r="I22" s="72" t="s">
        <v>64</v>
      </c>
      <c r="J22" s="87" t="s">
        <v>65</v>
      </c>
      <c r="K22" s="75">
        <v>8000000.0</v>
      </c>
      <c r="L22" s="79">
        <f>M22/K22</f>
        <v>1.041666667</v>
      </c>
      <c r="M22" s="80">
        <f>W22/N22</f>
        <v>8333333.333</v>
      </c>
      <c r="N22" s="80">
        <v>2.0</v>
      </c>
      <c r="O22" s="72" t="s">
        <v>70</v>
      </c>
      <c r="P22" s="82" t="s">
        <v>78</v>
      </c>
      <c r="Q22" s="82" t="s">
        <v>80</v>
      </c>
      <c r="R22" s="83">
        <f t="shared" si="1"/>
        <v>16666666.67</v>
      </c>
      <c r="S22" s="84">
        <v>0.02</v>
      </c>
      <c r="T22" s="83">
        <f t="shared" si="2"/>
        <v>333333.3333</v>
      </c>
      <c r="U22" s="86">
        <f>W22*0.1%</f>
        <v>16666.66667</v>
      </c>
      <c r="V22" s="10"/>
      <c r="W22" s="83">
        <f>(Y22*1000)/X22</f>
        <v>16666666.67</v>
      </c>
      <c r="X22" s="88">
        <v>0.9</v>
      </c>
      <c r="Y22" s="93">
        <v>15000.0</v>
      </c>
      <c r="Z22" s="90">
        <f t="shared" si="4"/>
        <v>56400</v>
      </c>
      <c r="AA22" s="94">
        <f t="shared" si="5"/>
        <v>15000</v>
      </c>
      <c r="AB22" s="1"/>
      <c r="AC22" s="1"/>
    </row>
    <row r="23" ht="24.0" customHeight="1">
      <c r="A23" s="1"/>
      <c r="B23" s="72" t="s">
        <v>123</v>
      </c>
      <c r="C23" s="72" t="s">
        <v>124</v>
      </c>
      <c r="D23" s="72" t="s">
        <v>53</v>
      </c>
      <c r="E23" s="72" t="s">
        <v>103</v>
      </c>
      <c r="F23" s="72" t="s">
        <v>61</v>
      </c>
      <c r="G23" s="72" t="s">
        <v>62</v>
      </c>
      <c r="H23" s="72" t="s">
        <v>110</v>
      </c>
      <c r="I23" s="72" t="s">
        <v>86</v>
      </c>
      <c r="J23" s="87" t="s">
        <v>107</v>
      </c>
      <c r="K23" s="75">
        <v>1.9E7</v>
      </c>
      <c r="L23" s="79" t="s">
        <v>20</v>
      </c>
      <c r="M23" s="80" t="s">
        <v>20</v>
      </c>
      <c r="N23" s="80" t="s">
        <v>20</v>
      </c>
      <c r="O23" s="72" t="s">
        <v>70</v>
      </c>
      <c r="P23" s="82" t="s">
        <v>92</v>
      </c>
      <c r="Q23" s="82" t="s">
        <v>92</v>
      </c>
      <c r="R23" s="83" t="s">
        <v>20</v>
      </c>
      <c r="S23" s="84" t="s">
        <v>20</v>
      </c>
      <c r="T23" s="83" t="s">
        <v>20</v>
      </c>
      <c r="U23" s="86" t="s">
        <v>20</v>
      </c>
      <c r="V23" s="10"/>
      <c r="W23" s="83">
        <v>2.2E7</v>
      </c>
      <c r="X23" s="88" t="s">
        <v>110</v>
      </c>
      <c r="Y23" s="93">
        <v>58493.0</v>
      </c>
      <c r="Z23" s="90">
        <f t="shared" si="4"/>
        <v>219933.68</v>
      </c>
      <c r="AA23" s="94">
        <f t="shared" si="5"/>
        <v>58493</v>
      </c>
      <c r="AB23" s="1"/>
      <c r="AC23" s="1"/>
    </row>
    <row r="24" ht="24.0" customHeight="1">
      <c r="A24" s="1"/>
      <c r="B24" s="72" t="s">
        <v>76</v>
      </c>
      <c r="C24" s="72" t="s">
        <v>93</v>
      </c>
      <c r="D24" s="72" t="s">
        <v>53</v>
      </c>
      <c r="E24" s="72" t="s">
        <v>60</v>
      </c>
      <c r="F24" s="72" t="s">
        <v>61</v>
      </c>
      <c r="G24" s="72" t="s">
        <v>62</v>
      </c>
      <c r="H24" s="72" t="s">
        <v>63</v>
      </c>
      <c r="I24" s="72" t="s">
        <v>64</v>
      </c>
      <c r="J24" s="87" t="s">
        <v>65</v>
      </c>
      <c r="K24" s="75">
        <v>1.9E7</v>
      </c>
      <c r="L24" s="79">
        <f>M24/K24</f>
        <v>0.548245614</v>
      </c>
      <c r="M24" s="80">
        <f>W24/N24</f>
        <v>10416666.67</v>
      </c>
      <c r="N24" s="80">
        <v>2.0</v>
      </c>
      <c r="O24" s="72" t="s">
        <v>70</v>
      </c>
      <c r="P24" s="82" t="s">
        <v>78</v>
      </c>
      <c r="Q24" s="82" t="s">
        <v>80</v>
      </c>
      <c r="R24" s="83">
        <f t="shared" ref="R24:R25" si="6">W24</f>
        <v>20833333.33</v>
      </c>
      <c r="S24" s="84">
        <v>0.2</v>
      </c>
      <c r="T24" s="83">
        <f>R24*S24</f>
        <v>4166666.667</v>
      </c>
      <c r="U24" s="86" t="s">
        <v>20</v>
      </c>
      <c r="V24" s="10"/>
      <c r="W24" s="83">
        <f t="shared" ref="W24:W25" si="7">(Y24*1000)/X24</f>
        <v>20833333.33</v>
      </c>
      <c r="X24" s="88">
        <v>1.2</v>
      </c>
      <c r="Y24" s="93">
        <v>25000.0</v>
      </c>
      <c r="Z24" s="90">
        <f t="shared" si="4"/>
        <v>94000</v>
      </c>
      <c r="AA24" s="94">
        <f t="shared" si="5"/>
        <v>25000</v>
      </c>
      <c r="AB24" s="1"/>
      <c r="AC24" s="1"/>
    </row>
    <row r="25" ht="24.0" customHeight="1">
      <c r="A25" s="1"/>
      <c r="B25" s="72" t="s">
        <v>95</v>
      </c>
      <c r="C25" s="72" t="s">
        <v>96</v>
      </c>
      <c r="D25" s="72" t="s">
        <v>53</v>
      </c>
      <c r="E25" s="72" t="s">
        <v>97</v>
      </c>
      <c r="F25" s="72" t="s">
        <v>61</v>
      </c>
      <c r="G25" s="72" t="s">
        <v>98</v>
      </c>
      <c r="H25" s="72" t="s">
        <v>63</v>
      </c>
      <c r="I25" s="72" t="s">
        <v>64</v>
      </c>
      <c r="J25" s="87" t="s">
        <v>65</v>
      </c>
      <c r="K25" s="75" t="s">
        <v>20</v>
      </c>
      <c r="L25" s="75" t="s">
        <v>20</v>
      </c>
      <c r="M25" s="75" t="s">
        <v>20</v>
      </c>
      <c r="N25" s="75" t="s">
        <v>20</v>
      </c>
      <c r="O25" s="72" t="s">
        <v>97</v>
      </c>
      <c r="P25" s="82" t="s">
        <v>78</v>
      </c>
      <c r="Q25" s="82" t="s">
        <v>80</v>
      </c>
      <c r="R25" s="83">
        <f t="shared" si="6"/>
        <v>12857142.86</v>
      </c>
      <c r="S25" s="84" t="s">
        <v>20</v>
      </c>
      <c r="T25" s="84" t="s">
        <v>20</v>
      </c>
      <c r="U25" s="86">
        <f>W25*1%</f>
        <v>128571.4286</v>
      </c>
      <c r="V25" s="1"/>
      <c r="W25" s="83">
        <f t="shared" si="7"/>
        <v>12857142.86</v>
      </c>
      <c r="X25" s="88">
        <v>3.5</v>
      </c>
      <c r="Y25" s="93">
        <v>45000.0</v>
      </c>
      <c r="Z25" s="90">
        <f t="shared" si="4"/>
        <v>169200</v>
      </c>
      <c r="AA25" s="94">
        <f t="shared" si="5"/>
        <v>45000</v>
      </c>
      <c r="AB25" s="1"/>
      <c r="AC25" s="1"/>
    </row>
    <row r="26" ht="24.0" customHeight="1">
      <c r="A26" s="1"/>
      <c r="B26" s="72" t="s">
        <v>133</v>
      </c>
      <c r="C26" s="72" t="s">
        <v>126</v>
      </c>
      <c r="D26" s="72" t="s">
        <v>53</v>
      </c>
      <c r="E26" s="72" t="s">
        <v>20</v>
      </c>
      <c r="F26" s="72" t="s">
        <v>61</v>
      </c>
      <c r="G26" s="72" t="s">
        <v>98</v>
      </c>
      <c r="H26" s="72" t="s">
        <v>127</v>
      </c>
      <c r="I26" s="72" t="s">
        <v>64</v>
      </c>
      <c r="J26" s="87" t="s">
        <v>65</v>
      </c>
      <c r="K26" s="75" t="s">
        <v>20</v>
      </c>
      <c r="L26" s="75" t="s">
        <v>20</v>
      </c>
      <c r="M26" s="75" t="s">
        <v>20</v>
      </c>
      <c r="N26" s="75" t="s">
        <v>20</v>
      </c>
      <c r="O26" s="72" t="s">
        <v>90</v>
      </c>
      <c r="P26" s="82" t="s">
        <v>78</v>
      </c>
      <c r="Q26" s="82" t="s">
        <v>80</v>
      </c>
      <c r="R26" s="83">
        <f t="shared" ref="R26:R29" si="8">U26</f>
        <v>5833.333333</v>
      </c>
      <c r="S26" s="84" t="s">
        <v>20</v>
      </c>
      <c r="T26" s="84" t="s">
        <v>20</v>
      </c>
      <c r="U26" s="86">
        <f t="shared" ref="U26:U29" si="9">Y26/X26</f>
        <v>5833.333333</v>
      </c>
      <c r="V26" s="10"/>
      <c r="W26" s="83" t="s">
        <v>20</v>
      </c>
      <c r="X26" s="88">
        <v>1.2</v>
      </c>
      <c r="Y26" s="93">
        <v>7000.0</v>
      </c>
      <c r="Z26" s="90">
        <f t="shared" si="4"/>
        <v>26320</v>
      </c>
      <c r="AA26" s="94">
        <f t="shared" si="5"/>
        <v>7000</v>
      </c>
      <c r="AB26" s="1"/>
      <c r="AC26" s="1"/>
    </row>
    <row r="27" ht="24.0" customHeight="1">
      <c r="A27" s="1"/>
      <c r="B27" s="72" t="s">
        <v>136</v>
      </c>
      <c r="C27" s="72" t="s">
        <v>130</v>
      </c>
      <c r="D27" s="72" t="s">
        <v>53</v>
      </c>
      <c r="E27" s="72" t="s">
        <v>20</v>
      </c>
      <c r="F27" s="72" t="s">
        <v>61</v>
      </c>
      <c r="G27" s="72" t="s">
        <v>132</v>
      </c>
      <c r="H27" s="72" t="s">
        <v>127</v>
      </c>
      <c r="I27" s="72" t="s">
        <v>64</v>
      </c>
      <c r="J27" s="87" t="s">
        <v>65</v>
      </c>
      <c r="K27" s="75" t="s">
        <v>20</v>
      </c>
      <c r="L27" s="75" t="s">
        <v>20</v>
      </c>
      <c r="M27" s="75" t="s">
        <v>20</v>
      </c>
      <c r="N27" s="75" t="s">
        <v>20</v>
      </c>
      <c r="O27" s="72" t="s">
        <v>90</v>
      </c>
      <c r="P27" s="82" t="s">
        <v>78</v>
      </c>
      <c r="Q27" s="82" t="s">
        <v>80</v>
      </c>
      <c r="R27" s="83">
        <f t="shared" si="8"/>
        <v>27500</v>
      </c>
      <c r="S27" s="84" t="s">
        <v>20</v>
      </c>
      <c r="T27" s="84" t="s">
        <v>20</v>
      </c>
      <c r="U27" s="86">
        <f t="shared" si="9"/>
        <v>27500</v>
      </c>
      <c r="V27" s="10"/>
      <c r="W27" s="83" t="s">
        <v>20</v>
      </c>
      <c r="X27" s="88">
        <v>0.4</v>
      </c>
      <c r="Y27" s="93">
        <v>11000.0</v>
      </c>
      <c r="Z27" s="90">
        <f t="shared" si="4"/>
        <v>41360</v>
      </c>
      <c r="AA27" s="94">
        <f t="shared" si="5"/>
        <v>11000</v>
      </c>
      <c r="AB27" s="1"/>
      <c r="AC27" s="1"/>
    </row>
    <row r="28" ht="24.0" customHeight="1">
      <c r="A28" s="1"/>
      <c r="B28" s="72" t="s">
        <v>58</v>
      </c>
      <c r="C28" s="72" t="s">
        <v>59</v>
      </c>
      <c r="D28" s="72" t="s">
        <v>53</v>
      </c>
      <c r="E28" s="72" t="s">
        <v>60</v>
      </c>
      <c r="F28" s="72" t="s">
        <v>61</v>
      </c>
      <c r="G28" s="72" t="s">
        <v>132</v>
      </c>
      <c r="H28" s="72" t="s">
        <v>127</v>
      </c>
      <c r="I28" s="72" t="s">
        <v>64</v>
      </c>
      <c r="J28" s="87" t="s">
        <v>65</v>
      </c>
      <c r="K28" s="75">
        <v>1.9E7</v>
      </c>
      <c r="L28" s="75" t="s">
        <v>20</v>
      </c>
      <c r="M28" s="75" t="s">
        <v>20</v>
      </c>
      <c r="N28" s="75" t="s">
        <v>20</v>
      </c>
      <c r="O28" s="72" t="s">
        <v>70</v>
      </c>
      <c r="P28" s="82" t="s">
        <v>78</v>
      </c>
      <c r="Q28" s="82" t="s">
        <v>80</v>
      </c>
      <c r="R28" s="83">
        <f t="shared" si="8"/>
        <v>50000</v>
      </c>
      <c r="S28" s="84" t="s">
        <v>20</v>
      </c>
      <c r="T28" s="84" t="s">
        <v>20</v>
      </c>
      <c r="U28" s="86">
        <f t="shared" si="9"/>
        <v>50000</v>
      </c>
      <c r="V28" s="10"/>
      <c r="W28" s="83" t="s">
        <v>20</v>
      </c>
      <c r="X28" s="88">
        <v>0.4</v>
      </c>
      <c r="Y28" s="89">
        <v>20000.0</v>
      </c>
      <c r="Z28" s="90">
        <f t="shared" si="4"/>
        <v>75200</v>
      </c>
      <c r="AA28" s="111">
        <f t="shared" si="5"/>
        <v>20000</v>
      </c>
      <c r="AB28" s="1"/>
      <c r="AC28" s="1"/>
    </row>
    <row r="29" ht="24.0" customHeight="1">
      <c r="A29" s="1"/>
      <c r="B29" s="72" t="s">
        <v>81</v>
      </c>
      <c r="C29" s="72" t="s">
        <v>59</v>
      </c>
      <c r="D29" s="72" t="s">
        <v>53</v>
      </c>
      <c r="E29" s="72" t="s">
        <v>60</v>
      </c>
      <c r="F29" s="72" t="s">
        <v>61</v>
      </c>
      <c r="G29" s="72" t="s">
        <v>132</v>
      </c>
      <c r="H29" s="72" t="s">
        <v>127</v>
      </c>
      <c r="I29" s="72" t="s">
        <v>64</v>
      </c>
      <c r="J29" s="87" t="s">
        <v>65</v>
      </c>
      <c r="K29" s="80">
        <v>2.1E7</v>
      </c>
      <c r="L29" s="80" t="s">
        <v>20</v>
      </c>
      <c r="M29" s="80" t="s">
        <v>20</v>
      </c>
      <c r="N29" s="80" t="s">
        <v>20</v>
      </c>
      <c r="O29" s="72" t="s">
        <v>70</v>
      </c>
      <c r="P29" s="115" t="s">
        <v>78</v>
      </c>
      <c r="Q29" s="115" t="s">
        <v>80</v>
      </c>
      <c r="R29" s="83">
        <f t="shared" si="8"/>
        <v>66666.66667</v>
      </c>
      <c r="S29" s="79" t="s">
        <v>20</v>
      </c>
      <c r="T29" s="79" t="s">
        <v>20</v>
      </c>
      <c r="U29" s="86">
        <f t="shared" si="9"/>
        <v>66666.66667</v>
      </c>
      <c r="V29" s="10"/>
      <c r="W29" s="83" t="s">
        <v>20</v>
      </c>
      <c r="X29" s="88">
        <v>0.3</v>
      </c>
      <c r="Y29" s="89">
        <v>20000.0</v>
      </c>
      <c r="Z29" s="90">
        <f t="shared" si="4"/>
        <v>75200</v>
      </c>
      <c r="AA29" s="111">
        <f t="shared" si="5"/>
        <v>20000</v>
      </c>
      <c r="AB29" s="1"/>
      <c r="AC29" s="1"/>
    </row>
    <row r="30" ht="15.0" customHeight="1">
      <c r="A30" s="1"/>
      <c r="B30" s="96" t="s">
        <v>94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68"/>
      <c r="R30" s="98"/>
      <c r="S30" s="98"/>
      <c r="T30" s="99">
        <f t="shared" ref="T30:U30" si="10">SUM(T18:T29)</f>
        <v>7992666.667</v>
      </c>
      <c r="U30" s="99">
        <f t="shared" si="10"/>
        <v>354271.4286</v>
      </c>
      <c r="V30" s="1"/>
      <c r="W30" s="99">
        <f>SUM(W18:W29)</f>
        <v>133890476.2</v>
      </c>
      <c r="X30" s="99"/>
      <c r="Y30" s="100">
        <f t="shared" ref="Y30:Z30" si="11">SUM(Y18:Y29)</f>
        <v>270363</v>
      </c>
      <c r="Z30" s="101">
        <f t="shared" si="11"/>
        <v>1016564.88</v>
      </c>
      <c r="AA30" s="111">
        <f t="shared" si="5"/>
        <v>270363</v>
      </c>
      <c r="AB30" s="1"/>
      <c r="AC30" s="1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0" customHeight="1">
      <c r="A32" s="1"/>
      <c r="B32" s="67" t="s">
        <v>99</v>
      </c>
      <c r="C32" s="6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31.5" customHeight="1">
      <c r="A33" s="1"/>
      <c r="B33" s="72" t="s">
        <v>58</v>
      </c>
      <c r="C33" s="72" t="s">
        <v>59</v>
      </c>
      <c r="D33" s="72" t="s">
        <v>104</v>
      </c>
      <c r="E33" s="72" t="s">
        <v>60</v>
      </c>
      <c r="F33" s="72" t="s">
        <v>61</v>
      </c>
      <c r="G33" s="72" t="s">
        <v>62</v>
      </c>
      <c r="H33" s="72" t="s">
        <v>63</v>
      </c>
      <c r="I33" s="72" t="s">
        <v>64</v>
      </c>
      <c r="J33" s="72" t="s">
        <v>65</v>
      </c>
      <c r="K33" s="75">
        <v>1.6E7</v>
      </c>
      <c r="L33" s="79">
        <f t="shared" ref="L33:L34" si="12">M33/K33</f>
        <v>0.6696428571</v>
      </c>
      <c r="M33" s="80">
        <f t="shared" ref="M33:M34" si="13">W33/N33</f>
        <v>10714285.71</v>
      </c>
      <c r="N33" s="80">
        <v>2.0</v>
      </c>
      <c r="O33" s="72" t="s">
        <v>70</v>
      </c>
      <c r="P33" s="82" t="s">
        <v>78</v>
      </c>
      <c r="Q33" s="82" t="s">
        <v>80</v>
      </c>
      <c r="R33" s="83">
        <f t="shared" ref="R33:R35" si="14">W33</f>
        <v>21428571.43</v>
      </c>
      <c r="S33" s="84">
        <v>0.02</v>
      </c>
      <c r="T33" s="83">
        <f t="shared" ref="T33:T34" si="15">R33*S33</f>
        <v>428571.4286</v>
      </c>
      <c r="U33" s="86">
        <f>W33*0.1%</f>
        <v>21428.57143</v>
      </c>
      <c r="V33" s="10"/>
      <c r="W33" s="83">
        <f t="shared" ref="W33:W35" si="16">(Y33*1000)/X33</f>
        <v>21428571.43</v>
      </c>
      <c r="X33" s="88">
        <v>0.7</v>
      </c>
      <c r="Y33" s="93">
        <v>15000.0</v>
      </c>
      <c r="Z33" s="90">
        <f t="shared" ref="Z33:Z36" si="17">Y33*3.76</f>
        <v>56400</v>
      </c>
      <c r="AA33" s="1"/>
      <c r="AB33" s="1"/>
      <c r="AC33" s="1"/>
    </row>
    <row r="34" ht="30.75" customHeight="1">
      <c r="A34" s="1"/>
      <c r="B34" s="72" t="s">
        <v>76</v>
      </c>
      <c r="C34" s="72" t="s">
        <v>59</v>
      </c>
      <c r="D34" s="72" t="s">
        <v>104</v>
      </c>
      <c r="E34" s="72" t="s">
        <v>60</v>
      </c>
      <c r="F34" s="72" t="s">
        <v>61</v>
      </c>
      <c r="G34" s="72" t="s">
        <v>62</v>
      </c>
      <c r="H34" s="72" t="s">
        <v>63</v>
      </c>
      <c r="I34" s="72" t="s">
        <v>64</v>
      </c>
      <c r="J34" s="76"/>
      <c r="K34" s="75">
        <v>1.35E7</v>
      </c>
      <c r="L34" s="79">
        <f t="shared" si="12"/>
        <v>0.4320987654</v>
      </c>
      <c r="M34" s="80">
        <f t="shared" si="13"/>
        <v>5833333.333</v>
      </c>
      <c r="N34" s="80">
        <v>2.0</v>
      </c>
      <c r="O34" s="72" t="s">
        <v>70</v>
      </c>
      <c r="P34" s="82" t="s">
        <v>78</v>
      </c>
      <c r="Q34" s="82" t="s">
        <v>80</v>
      </c>
      <c r="R34" s="83">
        <f t="shared" si="14"/>
        <v>11666666.67</v>
      </c>
      <c r="S34" s="84">
        <v>0.2</v>
      </c>
      <c r="T34" s="83">
        <f t="shared" si="15"/>
        <v>2333333.333</v>
      </c>
      <c r="U34" s="86" t="s">
        <v>20</v>
      </c>
      <c r="V34" s="10"/>
      <c r="W34" s="83">
        <f t="shared" si="16"/>
        <v>11666666.67</v>
      </c>
      <c r="X34" s="88">
        <v>1.2</v>
      </c>
      <c r="Y34" s="89">
        <v>14000.0</v>
      </c>
      <c r="Z34" s="90">
        <f t="shared" si="17"/>
        <v>52640</v>
      </c>
      <c r="AA34" s="1"/>
      <c r="AB34" s="1"/>
      <c r="AC34" s="1"/>
    </row>
    <row r="35" ht="30.75" customHeight="1">
      <c r="A35" s="1"/>
      <c r="B35" s="72" t="s">
        <v>95</v>
      </c>
      <c r="C35" s="72" t="s">
        <v>96</v>
      </c>
      <c r="D35" s="72" t="s">
        <v>104</v>
      </c>
      <c r="E35" s="72" t="s">
        <v>97</v>
      </c>
      <c r="F35" s="72" t="s">
        <v>61</v>
      </c>
      <c r="G35" s="72" t="s">
        <v>98</v>
      </c>
      <c r="H35" s="72" t="s">
        <v>63</v>
      </c>
      <c r="I35" s="72" t="s">
        <v>64</v>
      </c>
      <c r="J35" s="76"/>
      <c r="K35" s="75" t="s">
        <v>20</v>
      </c>
      <c r="L35" s="75" t="s">
        <v>20</v>
      </c>
      <c r="M35" s="75" t="s">
        <v>20</v>
      </c>
      <c r="N35" s="75" t="s">
        <v>20</v>
      </c>
      <c r="O35" s="72" t="s">
        <v>97</v>
      </c>
      <c r="P35" s="82" t="s">
        <v>78</v>
      </c>
      <c r="Q35" s="82" t="s">
        <v>80</v>
      </c>
      <c r="R35" s="83">
        <f t="shared" si="14"/>
        <v>4000000</v>
      </c>
      <c r="S35" s="84" t="s">
        <v>20</v>
      </c>
      <c r="T35" s="84" t="s">
        <v>20</v>
      </c>
      <c r="U35" s="86">
        <f>W35*1%</f>
        <v>40000</v>
      </c>
      <c r="V35" s="1"/>
      <c r="W35" s="83">
        <f t="shared" si="16"/>
        <v>4000000</v>
      </c>
      <c r="X35" s="88">
        <v>3.5</v>
      </c>
      <c r="Y35" s="89">
        <v>14000.0</v>
      </c>
      <c r="Z35" s="90">
        <f t="shared" si="17"/>
        <v>52640</v>
      </c>
      <c r="AA35" s="1"/>
      <c r="AB35" s="1"/>
      <c r="AC35" s="1"/>
    </row>
    <row r="36" ht="30.75" customHeight="1">
      <c r="A36" s="1"/>
      <c r="B36" s="72" t="s">
        <v>136</v>
      </c>
      <c r="C36" s="72" t="s">
        <v>130</v>
      </c>
      <c r="D36" s="72" t="s">
        <v>104</v>
      </c>
      <c r="E36" s="72" t="s">
        <v>20</v>
      </c>
      <c r="F36" s="72" t="s">
        <v>61</v>
      </c>
      <c r="G36" s="72" t="s">
        <v>132</v>
      </c>
      <c r="H36" s="72" t="s">
        <v>127</v>
      </c>
      <c r="I36" s="72" t="s">
        <v>64</v>
      </c>
      <c r="J36" s="56"/>
      <c r="K36" s="75" t="s">
        <v>20</v>
      </c>
      <c r="L36" s="75" t="s">
        <v>20</v>
      </c>
      <c r="M36" s="75" t="s">
        <v>20</v>
      </c>
      <c r="N36" s="75" t="s">
        <v>20</v>
      </c>
      <c r="O36" s="72" t="s">
        <v>90</v>
      </c>
      <c r="P36" s="82" t="s">
        <v>78</v>
      </c>
      <c r="Q36" s="82" t="s">
        <v>80</v>
      </c>
      <c r="R36" s="83">
        <f>U36</f>
        <v>30000</v>
      </c>
      <c r="S36" s="84" t="s">
        <v>20</v>
      </c>
      <c r="T36" s="84" t="s">
        <v>20</v>
      </c>
      <c r="U36" s="86">
        <f>Y36/X36</f>
        <v>30000</v>
      </c>
      <c r="V36" s="10"/>
      <c r="W36" s="83" t="s">
        <v>20</v>
      </c>
      <c r="X36" s="88">
        <v>0.4</v>
      </c>
      <c r="Y36" s="89">
        <v>12000.0</v>
      </c>
      <c r="Z36" s="90">
        <f t="shared" si="17"/>
        <v>45120</v>
      </c>
      <c r="AA36" s="1"/>
      <c r="AB36" s="1"/>
      <c r="AC36" s="1"/>
    </row>
    <row r="37" ht="15.0" customHeight="1">
      <c r="A37" s="1"/>
      <c r="B37" s="96" t="s">
        <v>128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68"/>
      <c r="R37" s="98"/>
      <c r="S37" s="98"/>
      <c r="T37" s="99">
        <f t="shared" ref="T37:U37" si="18">SUM(T33:T36)</f>
        <v>2761904.762</v>
      </c>
      <c r="U37" s="99">
        <f t="shared" si="18"/>
        <v>91428.57143</v>
      </c>
      <c r="V37" s="1"/>
      <c r="W37" s="99">
        <f>SUM(W33:W34)</f>
        <v>33095238.1</v>
      </c>
      <c r="X37" s="99"/>
      <c r="Y37" s="100">
        <f t="shared" ref="Y37:Z37" si="19">SUM(Y33:Y36)</f>
        <v>55000</v>
      </c>
      <c r="Z37" s="101">
        <f t="shared" si="19"/>
        <v>206800</v>
      </c>
      <c r="AA37" s="1"/>
      <c r="AB37" s="1"/>
      <c r="AC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0" customHeight="1">
      <c r="A39" s="1"/>
      <c r="B39" s="67" t="s">
        <v>131</v>
      </c>
      <c r="C39" s="6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9.5" customHeight="1">
      <c r="A40" s="1"/>
      <c r="B40" s="72" t="s">
        <v>58</v>
      </c>
      <c r="C40" s="72" t="s">
        <v>59</v>
      </c>
      <c r="D40" s="72" t="s">
        <v>131</v>
      </c>
      <c r="E40" s="72" t="s">
        <v>60</v>
      </c>
      <c r="F40" s="72" t="s">
        <v>61</v>
      </c>
      <c r="G40" s="72" t="s">
        <v>62</v>
      </c>
      <c r="H40" s="72" t="s">
        <v>63</v>
      </c>
      <c r="I40" s="72" t="s">
        <v>86</v>
      </c>
      <c r="J40" s="72" t="s">
        <v>65</v>
      </c>
      <c r="K40" s="75">
        <v>2.2E7</v>
      </c>
      <c r="L40" s="79">
        <f t="shared" ref="L40:L41" si="20">M40/K40</f>
        <v>0.1515151515</v>
      </c>
      <c r="M40" s="80">
        <f t="shared" ref="M40:M41" si="21">W40/N40</f>
        <v>3333333.333</v>
      </c>
      <c r="N40" s="80">
        <v>2.0</v>
      </c>
      <c r="O40" s="72" t="s">
        <v>70</v>
      </c>
      <c r="P40" s="82" t="s">
        <v>78</v>
      </c>
      <c r="Q40" s="82" t="s">
        <v>80</v>
      </c>
      <c r="R40" s="83">
        <f t="shared" ref="R40:R41" si="22">W40</f>
        <v>6666666.667</v>
      </c>
      <c r="S40" s="84">
        <v>0.02</v>
      </c>
      <c r="T40" s="83">
        <f t="shared" ref="T40:T41" si="23">R40*S40</f>
        <v>133333.3333</v>
      </c>
      <c r="U40" s="86">
        <f>W40*0.1%</f>
        <v>6666.666667</v>
      </c>
      <c r="V40" s="10"/>
      <c r="W40" s="83">
        <f t="shared" ref="W40:W41" si="24">(Y40*1000)/X40</f>
        <v>6666666.667</v>
      </c>
      <c r="X40" s="88">
        <v>0.75</v>
      </c>
      <c r="Y40" s="93">
        <v>5000.0</v>
      </c>
      <c r="Z40" s="90">
        <f t="shared" ref="Z40:Z42" si="25">Y40*3.76</f>
        <v>18800</v>
      </c>
      <c r="AA40" s="1"/>
      <c r="AB40" s="1"/>
      <c r="AC40" s="1"/>
    </row>
    <row r="41" ht="25.5" customHeight="1">
      <c r="A41" s="1"/>
      <c r="B41" s="72" t="s">
        <v>76</v>
      </c>
      <c r="C41" s="72" t="s">
        <v>59</v>
      </c>
      <c r="D41" s="72" t="s">
        <v>131</v>
      </c>
      <c r="E41" s="72" t="s">
        <v>60</v>
      </c>
      <c r="F41" s="72" t="s">
        <v>61</v>
      </c>
      <c r="G41" s="72" t="s">
        <v>62</v>
      </c>
      <c r="H41" s="72" t="s">
        <v>63</v>
      </c>
      <c r="I41" s="72" t="s">
        <v>86</v>
      </c>
      <c r="J41" s="76"/>
      <c r="K41" s="75">
        <v>1.9E7</v>
      </c>
      <c r="L41" s="79">
        <f t="shared" si="20"/>
        <v>0.1535087719</v>
      </c>
      <c r="M41" s="80">
        <f t="shared" si="21"/>
        <v>2916666.667</v>
      </c>
      <c r="N41" s="80">
        <v>2.0</v>
      </c>
      <c r="O41" s="72" t="s">
        <v>70</v>
      </c>
      <c r="P41" s="82" t="s">
        <v>78</v>
      </c>
      <c r="Q41" s="82" t="s">
        <v>80</v>
      </c>
      <c r="R41" s="83">
        <f t="shared" si="22"/>
        <v>5833333.333</v>
      </c>
      <c r="S41" s="84">
        <v>0.2</v>
      </c>
      <c r="T41" s="83">
        <f t="shared" si="23"/>
        <v>1166666.667</v>
      </c>
      <c r="U41" s="86" t="s">
        <v>20</v>
      </c>
      <c r="V41" s="10"/>
      <c r="W41" s="83">
        <f t="shared" si="24"/>
        <v>5833333.333</v>
      </c>
      <c r="X41" s="88">
        <v>1.2</v>
      </c>
      <c r="Y41" s="89">
        <v>7000.0</v>
      </c>
      <c r="Z41" s="90">
        <f t="shared" si="25"/>
        <v>26320</v>
      </c>
      <c r="AA41" s="1"/>
      <c r="AB41" s="1"/>
      <c r="AC41" s="1"/>
    </row>
    <row r="42" ht="25.5" customHeight="1">
      <c r="A42" s="1"/>
      <c r="B42" s="72" t="s">
        <v>136</v>
      </c>
      <c r="C42" s="72" t="s">
        <v>130</v>
      </c>
      <c r="D42" s="72" t="s">
        <v>131</v>
      </c>
      <c r="E42" s="72" t="s">
        <v>20</v>
      </c>
      <c r="F42" s="72" t="s">
        <v>61</v>
      </c>
      <c r="G42" s="72" t="s">
        <v>132</v>
      </c>
      <c r="H42" s="72" t="s">
        <v>127</v>
      </c>
      <c r="I42" s="72" t="s">
        <v>86</v>
      </c>
      <c r="J42" s="56"/>
      <c r="K42" s="75" t="s">
        <v>20</v>
      </c>
      <c r="L42" s="75" t="s">
        <v>20</v>
      </c>
      <c r="M42" s="75" t="s">
        <v>20</v>
      </c>
      <c r="N42" s="75" t="s">
        <v>20</v>
      </c>
      <c r="O42" s="72" t="s">
        <v>90</v>
      </c>
      <c r="P42" s="82" t="s">
        <v>78</v>
      </c>
      <c r="Q42" s="82" t="s">
        <v>80</v>
      </c>
      <c r="R42" s="83">
        <f>U42</f>
        <v>12500</v>
      </c>
      <c r="S42" s="84" t="s">
        <v>20</v>
      </c>
      <c r="T42" s="84" t="s">
        <v>20</v>
      </c>
      <c r="U42" s="86">
        <f>Y42/X42</f>
        <v>12500</v>
      </c>
      <c r="V42" s="10"/>
      <c r="W42" s="83" t="s">
        <v>20</v>
      </c>
      <c r="X42" s="88">
        <v>0.4</v>
      </c>
      <c r="Y42" s="89">
        <v>5000.0</v>
      </c>
      <c r="Z42" s="90">
        <f t="shared" si="25"/>
        <v>18800</v>
      </c>
      <c r="AA42" s="1"/>
      <c r="AB42" s="1"/>
      <c r="AC42" s="1"/>
    </row>
    <row r="43" ht="15.0" customHeight="1">
      <c r="A43" s="1"/>
      <c r="B43" s="96" t="s">
        <v>134</v>
      </c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68"/>
      <c r="R43" s="98"/>
      <c r="S43" s="98"/>
      <c r="T43" s="99">
        <f t="shared" ref="T43:U43" si="26">SUM(T40:T42)</f>
        <v>1300000</v>
      </c>
      <c r="U43" s="99">
        <f t="shared" si="26"/>
        <v>19166.66667</v>
      </c>
      <c r="V43" s="1"/>
      <c r="W43" s="99">
        <f>SUM(W40:W41)</f>
        <v>12500000</v>
      </c>
      <c r="X43" s="99"/>
      <c r="Y43" s="100">
        <f t="shared" ref="Y43:Z43" si="27">SUM(Y40:Y42)</f>
        <v>17000</v>
      </c>
      <c r="Z43" s="101">
        <f t="shared" si="27"/>
        <v>63920</v>
      </c>
      <c r="AA43" s="1"/>
      <c r="AB43" s="1"/>
      <c r="AC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0" customHeight="1">
      <c r="A45" s="1"/>
      <c r="B45" s="67" t="s">
        <v>135</v>
      </c>
      <c r="C45" s="6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29.25" customHeight="1">
      <c r="A46" s="1"/>
      <c r="B46" s="72" t="s">
        <v>58</v>
      </c>
      <c r="C46" s="72" t="s">
        <v>59</v>
      </c>
      <c r="D46" s="72" t="s">
        <v>135</v>
      </c>
      <c r="E46" s="72" t="s">
        <v>60</v>
      </c>
      <c r="F46" s="72" t="s">
        <v>61</v>
      </c>
      <c r="G46" s="72" t="s">
        <v>62</v>
      </c>
      <c r="H46" s="72" t="s">
        <v>63</v>
      </c>
      <c r="I46" s="72" t="s">
        <v>86</v>
      </c>
      <c r="J46" s="72" t="s">
        <v>65</v>
      </c>
      <c r="K46" s="75">
        <v>3000000.0</v>
      </c>
      <c r="L46" s="79">
        <f t="shared" ref="L46:L47" si="28">M46/K46</f>
        <v>1.244444444</v>
      </c>
      <c r="M46" s="80">
        <f t="shared" ref="M46:M47" si="29">W46/N46</f>
        <v>3733333.333</v>
      </c>
      <c r="N46" s="80">
        <v>2.0</v>
      </c>
      <c r="O46" s="72" t="s">
        <v>70</v>
      </c>
      <c r="P46" s="82" t="s">
        <v>78</v>
      </c>
      <c r="Q46" s="82" t="s">
        <v>80</v>
      </c>
      <c r="R46" s="83">
        <f t="shared" ref="R46:R47" si="30">W46</f>
        <v>7466666.667</v>
      </c>
      <c r="S46" s="84">
        <v>0.02</v>
      </c>
      <c r="T46" s="83">
        <f t="shared" ref="T46:T47" si="31">R46*S46</f>
        <v>149333.3333</v>
      </c>
      <c r="U46" s="86">
        <f>W46*0.1%</f>
        <v>7466.666667</v>
      </c>
      <c r="V46" s="10"/>
      <c r="W46" s="83">
        <f t="shared" ref="W46:W47" si="32">(Y46*1000)/X46</f>
        <v>7466666.667</v>
      </c>
      <c r="X46" s="88">
        <v>0.75</v>
      </c>
      <c r="Y46" s="93">
        <v>5600.0</v>
      </c>
      <c r="Z46" s="90">
        <f t="shared" ref="Z46:Z48" si="33">Y46*3.76</f>
        <v>21056</v>
      </c>
      <c r="AA46" s="1"/>
      <c r="AB46" s="1"/>
      <c r="AC46" s="1"/>
    </row>
    <row r="47" ht="30.75" customHeight="1">
      <c r="A47" s="1"/>
      <c r="B47" s="72" t="s">
        <v>76</v>
      </c>
      <c r="C47" s="72" t="s">
        <v>59</v>
      </c>
      <c r="D47" s="72" t="s">
        <v>135</v>
      </c>
      <c r="E47" s="72" t="s">
        <v>60</v>
      </c>
      <c r="F47" s="72" t="s">
        <v>61</v>
      </c>
      <c r="G47" s="72" t="s">
        <v>62</v>
      </c>
      <c r="H47" s="72" t="s">
        <v>63</v>
      </c>
      <c r="I47" s="72" t="s">
        <v>86</v>
      </c>
      <c r="J47" s="76"/>
      <c r="K47" s="75">
        <v>4500000.0</v>
      </c>
      <c r="L47" s="79">
        <f t="shared" si="28"/>
        <v>0.3703703704</v>
      </c>
      <c r="M47" s="80">
        <f t="shared" si="29"/>
        <v>1666666.667</v>
      </c>
      <c r="N47" s="80">
        <v>2.0</v>
      </c>
      <c r="O47" s="72" t="s">
        <v>70</v>
      </c>
      <c r="P47" s="82" t="s">
        <v>78</v>
      </c>
      <c r="Q47" s="82" t="s">
        <v>80</v>
      </c>
      <c r="R47" s="83">
        <f t="shared" si="30"/>
        <v>3333333.333</v>
      </c>
      <c r="S47" s="84">
        <v>0.2</v>
      </c>
      <c r="T47" s="83">
        <f t="shared" si="31"/>
        <v>666666.6667</v>
      </c>
      <c r="U47" s="86" t="s">
        <v>20</v>
      </c>
      <c r="V47" s="10"/>
      <c r="W47" s="83">
        <f t="shared" si="32"/>
        <v>3333333.333</v>
      </c>
      <c r="X47" s="88">
        <v>1.2</v>
      </c>
      <c r="Y47" s="89">
        <v>4000.0</v>
      </c>
      <c r="Z47" s="90">
        <f t="shared" si="33"/>
        <v>15040</v>
      </c>
      <c r="AA47" s="1"/>
      <c r="AB47" s="1"/>
      <c r="AC47" s="1"/>
    </row>
    <row r="48" ht="30.75" customHeight="1">
      <c r="A48" s="1"/>
      <c r="B48" s="72" t="s">
        <v>136</v>
      </c>
      <c r="C48" s="72" t="s">
        <v>130</v>
      </c>
      <c r="D48" s="72" t="s">
        <v>135</v>
      </c>
      <c r="E48" s="72" t="s">
        <v>20</v>
      </c>
      <c r="F48" s="72" t="s">
        <v>61</v>
      </c>
      <c r="G48" s="72" t="s">
        <v>132</v>
      </c>
      <c r="H48" s="72" t="s">
        <v>127</v>
      </c>
      <c r="I48" s="72" t="s">
        <v>86</v>
      </c>
      <c r="J48" s="56"/>
      <c r="K48" s="75" t="s">
        <v>20</v>
      </c>
      <c r="L48" s="75" t="s">
        <v>20</v>
      </c>
      <c r="M48" s="75" t="s">
        <v>20</v>
      </c>
      <c r="N48" s="75" t="s">
        <v>20</v>
      </c>
      <c r="O48" s="72" t="s">
        <v>90</v>
      </c>
      <c r="P48" s="82" t="s">
        <v>78</v>
      </c>
      <c r="Q48" s="82" t="s">
        <v>80</v>
      </c>
      <c r="R48" s="83">
        <f>U48</f>
        <v>15000</v>
      </c>
      <c r="S48" s="84" t="s">
        <v>20</v>
      </c>
      <c r="T48" s="84" t="s">
        <v>20</v>
      </c>
      <c r="U48" s="86">
        <f>Y48/X48</f>
        <v>15000</v>
      </c>
      <c r="V48" s="10"/>
      <c r="W48" s="83" t="s">
        <v>20</v>
      </c>
      <c r="X48" s="88">
        <v>0.4</v>
      </c>
      <c r="Y48" s="89">
        <v>6000.0</v>
      </c>
      <c r="Z48" s="90">
        <f t="shared" si="33"/>
        <v>22560</v>
      </c>
      <c r="AA48" s="1"/>
      <c r="AB48" s="1"/>
      <c r="AC48" s="1"/>
    </row>
    <row r="49" ht="15.0" customHeight="1">
      <c r="A49" s="1"/>
      <c r="B49" s="96" t="s">
        <v>144</v>
      </c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68"/>
      <c r="R49" s="98"/>
      <c r="S49" s="98"/>
      <c r="T49" s="99">
        <f t="shared" ref="T49:U49" si="34">SUM(T46:T48)</f>
        <v>816000</v>
      </c>
      <c r="U49" s="99">
        <f t="shared" si="34"/>
        <v>22466.66667</v>
      </c>
      <c r="V49" s="1"/>
      <c r="W49" s="99">
        <f>SUM(W46:W47)</f>
        <v>10800000</v>
      </c>
      <c r="X49" s="99"/>
      <c r="Y49" s="100">
        <f t="shared" ref="Y49:Z49" si="35">SUM(Y46:Y48)</f>
        <v>15600</v>
      </c>
      <c r="Z49" s="101">
        <f t="shared" si="35"/>
        <v>58656</v>
      </c>
      <c r="AA49" s="1"/>
      <c r="AB49" s="1"/>
      <c r="AC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0" customHeight="1">
      <c r="A51" s="1"/>
      <c r="B51" s="67" t="s">
        <v>137</v>
      </c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68"/>
      <c r="V51" s="10"/>
      <c r="W51" s="112">
        <f>SUM(W30,W37)</f>
        <v>166985714.3</v>
      </c>
      <c r="X51" s="113"/>
      <c r="Y51" s="116">
        <f t="shared" ref="Y51:Z51" si="36">SUM(Y30,Y37,Y43,Y49)</f>
        <v>357963</v>
      </c>
      <c r="Z51" s="118">
        <f t="shared" si="36"/>
        <v>1345940.88</v>
      </c>
      <c r="AA51" s="1"/>
      <c r="AB51" s="1"/>
      <c r="AC51" s="1"/>
    </row>
    <row r="52" ht="15.0" customHeight="1">
      <c r="A52" s="1"/>
      <c r="B52" s="67" t="s">
        <v>139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68"/>
      <c r="V52" s="10"/>
      <c r="W52" s="113"/>
      <c r="X52" s="113"/>
      <c r="Y52" s="116">
        <v>600.0</v>
      </c>
      <c r="Z52" s="118">
        <f>Y52*3.76</f>
        <v>2256</v>
      </c>
      <c r="AA52" s="1"/>
      <c r="AB52" s="1"/>
      <c r="AC52" s="1"/>
    </row>
    <row r="53" ht="15.0" customHeight="1">
      <c r="A53" s="1"/>
      <c r="B53" s="121" t="s">
        <v>141</v>
      </c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68"/>
      <c r="V53" s="1"/>
      <c r="W53" s="122"/>
      <c r="X53" s="122"/>
      <c r="Y53" s="123">
        <f t="shared" ref="Y53:Z53" si="37">SUM(Y51:Y52)</f>
        <v>358563</v>
      </c>
      <c r="Z53" s="124">
        <f t="shared" si="37"/>
        <v>1348196.88</v>
      </c>
      <c r="AA53" s="1"/>
      <c r="AB53" s="1"/>
      <c r="AC53" s="1"/>
    </row>
    <row r="54" ht="15.0" customHeight="1">
      <c r="A54" s="6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5"/>
      <c r="Y54" s="5"/>
      <c r="Z54" s="6"/>
      <c r="AA54" s="6"/>
      <c r="AB54" s="6"/>
      <c r="AC54" s="6"/>
    </row>
    <row r="55" ht="15.0" customHeight="1">
      <c r="A55" s="6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5"/>
      <c r="Y55" s="125"/>
      <c r="Z55" s="6"/>
      <c r="AA55" s="6"/>
      <c r="AB55" s="6"/>
      <c r="AC55" s="6"/>
    </row>
    <row r="56" ht="15.0" customHeight="1">
      <c r="A56" s="6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5"/>
      <c r="Y56" s="5"/>
      <c r="Z56" s="6"/>
      <c r="AA56" s="6"/>
      <c r="AB56" s="6"/>
      <c r="AC56" s="6"/>
    </row>
    <row r="57" ht="19.5" customHeight="1">
      <c r="A57" s="6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5"/>
      <c r="Y57" s="5"/>
      <c r="Z57" s="6"/>
      <c r="AA57" s="6"/>
      <c r="AB57" s="6"/>
      <c r="AC57" s="6"/>
    </row>
    <row r="58" ht="19.5" customHeight="1">
      <c r="A58" s="6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5"/>
      <c r="Y58" s="5"/>
      <c r="Z58" s="6"/>
      <c r="AA58" s="6"/>
      <c r="AB58" s="6"/>
      <c r="AC58" s="6"/>
    </row>
    <row r="59" ht="19.5" customHeight="1">
      <c r="A59" s="6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5"/>
      <c r="Y59" s="5"/>
      <c r="Z59" s="6"/>
      <c r="AA59" s="6"/>
      <c r="AB59" s="6"/>
      <c r="AC59" s="6"/>
    </row>
    <row r="60" ht="19.5" customHeight="1">
      <c r="A60" s="6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5"/>
      <c r="Y60" s="5"/>
      <c r="Z60" s="6"/>
      <c r="AA60" s="6"/>
      <c r="AB60" s="6"/>
      <c r="AC60" s="6"/>
    </row>
    <row r="61" ht="19.5" customHeight="1">
      <c r="A61" s="6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5"/>
      <c r="Y61" s="5"/>
      <c r="Z61" s="6"/>
      <c r="AA61" s="6"/>
      <c r="AB61" s="6"/>
      <c r="AC61" s="6"/>
    </row>
    <row r="62" ht="19.5" customHeight="1">
      <c r="A62" s="6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5"/>
      <c r="Y62" s="5"/>
      <c r="Z62" s="6"/>
      <c r="AA62" s="6"/>
      <c r="AB62" s="6"/>
      <c r="AC62" s="6"/>
    </row>
    <row r="63" ht="19.5" customHeight="1">
      <c r="A63" s="6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5"/>
      <c r="Y63" s="5"/>
      <c r="Z63" s="6"/>
      <c r="AA63" s="6"/>
      <c r="AB63" s="6"/>
      <c r="AC63" s="6"/>
    </row>
    <row r="64" ht="19.5" customHeight="1">
      <c r="A64" s="6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5"/>
      <c r="Y64" s="5"/>
      <c r="Z64" s="6"/>
      <c r="AA64" s="6"/>
      <c r="AB64" s="6"/>
      <c r="AC64" s="6"/>
    </row>
    <row r="65" ht="19.5" customHeight="1">
      <c r="A65" s="6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5"/>
      <c r="Y65" s="5"/>
      <c r="Z65" s="6"/>
      <c r="AA65" s="6"/>
      <c r="AB65" s="6"/>
      <c r="AC65" s="6"/>
    </row>
    <row r="66" ht="19.5" customHeight="1">
      <c r="A66" s="6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5"/>
      <c r="Y66" s="5"/>
      <c r="Z66" s="6"/>
      <c r="AA66" s="6"/>
      <c r="AB66" s="6"/>
      <c r="AC66" s="6"/>
    </row>
    <row r="67" ht="19.5" customHeight="1">
      <c r="A67" s="6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5"/>
      <c r="Y67" s="5"/>
      <c r="Z67" s="6"/>
      <c r="AA67" s="6"/>
      <c r="AB67" s="6"/>
      <c r="AC67" s="6"/>
    </row>
    <row r="68" ht="19.5" customHeight="1">
      <c r="A68" s="6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5"/>
      <c r="Y68" s="5"/>
      <c r="Z68" s="6"/>
      <c r="AA68" s="6"/>
      <c r="AB68" s="6"/>
      <c r="AC68" s="6"/>
    </row>
    <row r="69" ht="19.5" customHeight="1">
      <c r="A69" s="6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5"/>
      <c r="Y69" s="5"/>
      <c r="Z69" s="6"/>
      <c r="AA69" s="6"/>
      <c r="AB69" s="6"/>
      <c r="AC69" s="6"/>
    </row>
    <row r="70" ht="51.7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5"/>
      <c r="Y70" s="5"/>
      <c r="Z70" s="6"/>
      <c r="AA70" s="1"/>
      <c r="AB70" s="1"/>
      <c r="AC70" s="1"/>
    </row>
    <row r="71" ht="51.7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5"/>
      <c r="Y71" s="5"/>
      <c r="Z71" s="6"/>
      <c r="AA71" s="1"/>
      <c r="AB71" s="1"/>
      <c r="AC71" s="1"/>
    </row>
    <row r="72" ht="51.7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5"/>
      <c r="Y72" s="5"/>
      <c r="Z72" s="6"/>
      <c r="AA72" s="1"/>
      <c r="AB72" s="1"/>
      <c r="AC72" s="1"/>
    </row>
    <row r="73" ht="51.7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5"/>
      <c r="Y73" s="5"/>
      <c r="Z73" s="6"/>
      <c r="AA73" s="1"/>
      <c r="AB73" s="1"/>
      <c r="AC73" s="1"/>
    </row>
    <row r="74" ht="51.7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5"/>
      <c r="Y74" s="5"/>
      <c r="Z74" s="6"/>
      <c r="AA74" s="1"/>
      <c r="AB74" s="1"/>
      <c r="AC74" s="1"/>
    </row>
    <row r="75" ht="51.7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5"/>
      <c r="Y75" s="5"/>
      <c r="Z75" s="6"/>
      <c r="AA75" s="1"/>
      <c r="AB75" s="1"/>
      <c r="AC75" s="1"/>
    </row>
    <row r="76" ht="51.7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5"/>
      <c r="Y76" s="5"/>
      <c r="Z76" s="6"/>
      <c r="AA76" s="1"/>
      <c r="AB76" s="1"/>
      <c r="AC76" s="1"/>
    </row>
    <row r="77" ht="51.7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5"/>
      <c r="Y77" s="5"/>
      <c r="Z77" s="6"/>
      <c r="AA77" s="1"/>
      <c r="AB77" s="1"/>
      <c r="AC77" s="1"/>
    </row>
    <row r="78" ht="51.7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5"/>
      <c r="Y78" s="5"/>
      <c r="Z78" s="6"/>
      <c r="AA78" s="1"/>
      <c r="AB78" s="1"/>
      <c r="AC78" s="1"/>
    </row>
    <row r="79" ht="51.7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5"/>
      <c r="Y79" s="5"/>
      <c r="Z79" s="6"/>
      <c r="AA79" s="1"/>
      <c r="AB79" s="1"/>
      <c r="AC79" s="1"/>
    </row>
    <row r="80" ht="51.7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5"/>
      <c r="Y80" s="5"/>
      <c r="Z80" s="6"/>
      <c r="AA80" s="1"/>
      <c r="AB80" s="1"/>
      <c r="AC80" s="1"/>
    </row>
    <row r="81" ht="51.7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5"/>
      <c r="Y81" s="5"/>
      <c r="Z81" s="6"/>
      <c r="AA81" s="1"/>
      <c r="AB81" s="1"/>
      <c r="AC81" s="1"/>
    </row>
    <row r="82" ht="51.7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5"/>
      <c r="Y82" s="5"/>
      <c r="Z82" s="6"/>
      <c r="AA82" s="1"/>
      <c r="AB82" s="1"/>
      <c r="AC82" s="1"/>
    </row>
    <row r="83" ht="51.7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5"/>
      <c r="Y83" s="5"/>
      <c r="Z83" s="6"/>
      <c r="AA83" s="1"/>
      <c r="AB83" s="1"/>
      <c r="AC83" s="1"/>
    </row>
    <row r="84" ht="51.7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5"/>
      <c r="Y84" s="5"/>
      <c r="Z84" s="6"/>
      <c r="AA84" s="1"/>
      <c r="AB84" s="1"/>
      <c r="AC84" s="1"/>
    </row>
    <row r="85" ht="51.7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5"/>
      <c r="Y85" s="5"/>
      <c r="Z85" s="6"/>
      <c r="AA85" s="1"/>
      <c r="AB85" s="1"/>
      <c r="AC85" s="1"/>
    </row>
    <row r="86" ht="51.7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5"/>
      <c r="Y86" s="5"/>
      <c r="Z86" s="6"/>
      <c r="AA86" s="1"/>
      <c r="AB86" s="1"/>
      <c r="AC86" s="1"/>
    </row>
    <row r="87" ht="51.7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5"/>
      <c r="Y87" s="5"/>
      <c r="Z87" s="6"/>
      <c r="AA87" s="1"/>
      <c r="AB87" s="1"/>
      <c r="AC87" s="1"/>
    </row>
    <row r="88" ht="51.7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5"/>
      <c r="Y88" s="5"/>
      <c r="Z88" s="6"/>
      <c r="AA88" s="1"/>
      <c r="AB88" s="1"/>
      <c r="AC88" s="1"/>
    </row>
    <row r="89" ht="51.7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5"/>
      <c r="Y89" s="5"/>
      <c r="Z89" s="6"/>
      <c r="AA89" s="1"/>
      <c r="AB89" s="1"/>
      <c r="AC89" s="1"/>
    </row>
    <row r="90" ht="51.7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5"/>
      <c r="Y90" s="5"/>
      <c r="Z90" s="6"/>
      <c r="AA90" s="1"/>
      <c r="AB90" s="1"/>
      <c r="AC90" s="1"/>
    </row>
    <row r="91" ht="51.7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5"/>
      <c r="Y91" s="5"/>
      <c r="Z91" s="6"/>
      <c r="AA91" s="1"/>
      <c r="AB91" s="1"/>
      <c r="AC91" s="1"/>
    </row>
    <row r="92" ht="51.7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5"/>
      <c r="Y92" s="5"/>
      <c r="Z92" s="6"/>
      <c r="AA92" s="1"/>
      <c r="AB92" s="1"/>
      <c r="AC92" s="1"/>
    </row>
    <row r="93" ht="51.7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5"/>
      <c r="Y93" s="5"/>
      <c r="Z93" s="6"/>
      <c r="AA93" s="1"/>
      <c r="AB93" s="1"/>
      <c r="AC93" s="1"/>
    </row>
    <row r="94" ht="51.7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5"/>
      <c r="Y94" s="5"/>
      <c r="Z94" s="6"/>
      <c r="AA94" s="1"/>
      <c r="AB94" s="1"/>
      <c r="AC94" s="1"/>
    </row>
    <row r="95" ht="51.7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5"/>
      <c r="Y95" s="5"/>
      <c r="Z95" s="6"/>
      <c r="AA95" s="1"/>
      <c r="AB95" s="1"/>
      <c r="AC95" s="1"/>
    </row>
    <row r="96" ht="51.7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5"/>
      <c r="Y96" s="5"/>
      <c r="Z96" s="6"/>
      <c r="AA96" s="1"/>
      <c r="AB96" s="1"/>
      <c r="AC96" s="1"/>
    </row>
    <row r="97" ht="51.7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5"/>
      <c r="Y97" s="5"/>
      <c r="Z97" s="6"/>
      <c r="AA97" s="1"/>
      <c r="AB97" s="1"/>
      <c r="AC97" s="1"/>
    </row>
    <row r="98" ht="51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5"/>
      <c r="Y98" s="5"/>
      <c r="Z98" s="6"/>
      <c r="AA98" s="1"/>
      <c r="AB98" s="1"/>
      <c r="AC98" s="1"/>
    </row>
    <row r="99" ht="51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5"/>
      <c r="Y99" s="5"/>
      <c r="Z99" s="6"/>
      <c r="AA99" s="1"/>
      <c r="AB99" s="1"/>
      <c r="AC99" s="1"/>
    </row>
    <row r="100" ht="51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5"/>
      <c r="Y100" s="5"/>
      <c r="Z100" s="6"/>
      <c r="AA100" s="1"/>
      <c r="AB100" s="1"/>
      <c r="AC100" s="1"/>
    </row>
    <row r="101" ht="51.7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5"/>
      <c r="Y101" s="5"/>
      <c r="Z101" s="6"/>
      <c r="AA101" s="1"/>
      <c r="AB101" s="1"/>
      <c r="AC101" s="1"/>
    </row>
    <row r="102" ht="51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5"/>
      <c r="Y102" s="5"/>
      <c r="Z102" s="6"/>
      <c r="AA102" s="1"/>
      <c r="AB102" s="1"/>
      <c r="AC102" s="1"/>
    </row>
    <row r="103" ht="51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5"/>
      <c r="Y103" s="5"/>
      <c r="Z103" s="6"/>
      <c r="AA103" s="1"/>
      <c r="AB103" s="1"/>
      <c r="AC103" s="1"/>
    </row>
    <row r="104" ht="51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5"/>
      <c r="Y104" s="5"/>
      <c r="Z104" s="6"/>
      <c r="AA104" s="1"/>
      <c r="AB104" s="1"/>
      <c r="AC104" s="1"/>
    </row>
    <row r="105" ht="51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5"/>
      <c r="Y105" s="5"/>
      <c r="Z105" s="6"/>
      <c r="AA105" s="1"/>
      <c r="AB105" s="1"/>
      <c r="AC105" s="1"/>
    </row>
    <row r="106" ht="51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5"/>
      <c r="Y106" s="5"/>
      <c r="Z106" s="6"/>
      <c r="AA106" s="1"/>
      <c r="AB106" s="1"/>
      <c r="AC106" s="1"/>
    </row>
    <row r="107" ht="51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5"/>
      <c r="Y107" s="5"/>
      <c r="Z107" s="6"/>
      <c r="AA107" s="1"/>
      <c r="AB107" s="1"/>
      <c r="AC107" s="1"/>
    </row>
    <row r="108" ht="51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5"/>
      <c r="Y108" s="5"/>
      <c r="Z108" s="6"/>
      <c r="AA108" s="1"/>
      <c r="AB108" s="1"/>
      <c r="AC108" s="1"/>
    </row>
    <row r="109" ht="51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5"/>
      <c r="Y109" s="5"/>
      <c r="Z109" s="6"/>
      <c r="AA109" s="1"/>
      <c r="AB109" s="1"/>
      <c r="AC109" s="1"/>
    </row>
    <row r="110" ht="51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5"/>
      <c r="Y110" s="5"/>
      <c r="Z110" s="6"/>
      <c r="AA110" s="1"/>
      <c r="AB110" s="1"/>
      <c r="AC110" s="1"/>
    </row>
    <row r="111" ht="51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5"/>
      <c r="Y111" s="5"/>
      <c r="Z111" s="6"/>
      <c r="AA111" s="1"/>
      <c r="AB111" s="1"/>
      <c r="AC111" s="1"/>
    </row>
    <row r="112" ht="51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5"/>
      <c r="Y112" s="5"/>
      <c r="Z112" s="6"/>
      <c r="AA112" s="1"/>
      <c r="AB112" s="1"/>
      <c r="AC112" s="1"/>
    </row>
    <row r="113" ht="51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5"/>
      <c r="Y113" s="5"/>
      <c r="Z113" s="6"/>
      <c r="AA113" s="1"/>
      <c r="AB113" s="1"/>
      <c r="AC113" s="1"/>
    </row>
    <row r="114" ht="51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5"/>
      <c r="Y114" s="5"/>
      <c r="Z114" s="6"/>
      <c r="AA114" s="1"/>
      <c r="AB114" s="1"/>
      <c r="AC114" s="1"/>
    </row>
    <row r="115" ht="51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5"/>
      <c r="Y115" s="5"/>
      <c r="Z115" s="6"/>
      <c r="AA115" s="1"/>
      <c r="AB115" s="1"/>
      <c r="AC115" s="1"/>
    </row>
    <row r="116" ht="51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5"/>
      <c r="Y116" s="5"/>
      <c r="Z116" s="6"/>
      <c r="AA116" s="1"/>
      <c r="AB116" s="1"/>
      <c r="AC116" s="1"/>
    </row>
    <row r="117" ht="51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5"/>
      <c r="Y117" s="5"/>
      <c r="Z117" s="6"/>
      <c r="AA117" s="1"/>
      <c r="AB117" s="1"/>
      <c r="AC117" s="1"/>
    </row>
    <row r="118" ht="51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5"/>
      <c r="Y118" s="5"/>
      <c r="Z118" s="6"/>
      <c r="AA118" s="1"/>
      <c r="AB118" s="1"/>
      <c r="AC118" s="1"/>
    </row>
    <row r="119" ht="51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5"/>
      <c r="Y119" s="5"/>
      <c r="Z119" s="6"/>
      <c r="AA119" s="1"/>
      <c r="AB119" s="1"/>
      <c r="AC119" s="1"/>
    </row>
    <row r="120" ht="51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5"/>
      <c r="Y120" s="5"/>
      <c r="Z120" s="6"/>
      <c r="AA120" s="1"/>
      <c r="AB120" s="1"/>
      <c r="AC120" s="1"/>
    </row>
    <row r="121" ht="51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5"/>
      <c r="Y121" s="5"/>
      <c r="Z121" s="6"/>
      <c r="AA121" s="1"/>
      <c r="AB121" s="1"/>
      <c r="AC121" s="1"/>
    </row>
    <row r="122" ht="51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5"/>
      <c r="Y122" s="5"/>
      <c r="Z122" s="6"/>
      <c r="AA122" s="1"/>
      <c r="AB122" s="1"/>
      <c r="AC122" s="1"/>
    </row>
    <row r="123" ht="51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5"/>
      <c r="Y123" s="5"/>
      <c r="Z123" s="6"/>
      <c r="AA123" s="1"/>
      <c r="AB123" s="1"/>
      <c r="AC123" s="1"/>
    </row>
    <row r="124" ht="51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5"/>
      <c r="Y124" s="5"/>
      <c r="Z124" s="6"/>
      <c r="AA124" s="1"/>
      <c r="AB124" s="1"/>
      <c r="AC124" s="1"/>
    </row>
    <row r="125" ht="51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5"/>
      <c r="Y125" s="5"/>
      <c r="Z125" s="6"/>
      <c r="AA125" s="1"/>
      <c r="AB125" s="1"/>
      <c r="AC125" s="1"/>
    </row>
    <row r="126" ht="51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5"/>
      <c r="Y126" s="5"/>
      <c r="Z126" s="6"/>
      <c r="AA126" s="1"/>
      <c r="AB126" s="1"/>
      <c r="AC126" s="1"/>
    </row>
    <row r="127" ht="51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5"/>
      <c r="Y127" s="5"/>
      <c r="Z127" s="6"/>
      <c r="AA127" s="1"/>
      <c r="AB127" s="1"/>
      <c r="AC127" s="1"/>
    </row>
    <row r="128" ht="51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5"/>
      <c r="Y128" s="5"/>
      <c r="Z128" s="6"/>
      <c r="AA128" s="1"/>
      <c r="AB128" s="1"/>
      <c r="AC128" s="1"/>
    </row>
    <row r="129" ht="51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5"/>
      <c r="Y129" s="5"/>
      <c r="Z129" s="6"/>
      <c r="AA129" s="1"/>
      <c r="AB129" s="1"/>
      <c r="AC129" s="1"/>
    </row>
    <row r="130" ht="51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5"/>
      <c r="Y130" s="5"/>
      <c r="Z130" s="6"/>
      <c r="AA130" s="1"/>
      <c r="AB130" s="1"/>
      <c r="AC130" s="1"/>
    </row>
    <row r="131" ht="51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5"/>
      <c r="Y131" s="5"/>
      <c r="Z131" s="6"/>
      <c r="AA131" s="1"/>
      <c r="AB131" s="1"/>
      <c r="AC131" s="1"/>
    </row>
    <row r="132" ht="51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5"/>
      <c r="Y132" s="5"/>
      <c r="Z132" s="6"/>
      <c r="AA132" s="1"/>
      <c r="AB132" s="1"/>
      <c r="AC132" s="1"/>
    </row>
    <row r="133" ht="51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5"/>
      <c r="Y133" s="5"/>
      <c r="Z133" s="6"/>
      <c r="AA133" s="1"/>
      <c r="AB133" s="1"/>
      <c r="AC133" s="1"/>
    </row>
    <row r="134" ht="51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5"/>
      <c r="Y134" s="5"/>
      <c r="Z134" s="6"/>
      <c r="AA134" s="1"/>
      <c r="AB134" s="1"/>
      <c r="AC134" s="1"/>
    </row>
    <row r="135" ht="51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5"/>
      <c r="Y135" s="5"/>
      <c r="Z135" s="6"/>
      <c r="AA135" s="1"/>
      <c r="AB135" s="1"/>
      <c r="AC135" s="1"/>
    </row>
    <row r="136" ht="51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5"/>
      <c r="Y136" s="5"/>
      <c r="Z136" s="6"/>
      <c r="AA136" s="1"/>
      <c r="AB136" s="1"/>
      <c r="AC136" s="1"/>
    </row>
    <row r="137" ht="51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5"/>
      <c r="Y137" s="5"/>
      <c r="Z137" s="6"/>
      <c r="AA137" s="1"/>
      <c r="AB137" s="1"/>
      <c r="AC137" s="1"/>
    </row>
    <row r="138" ht="51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5"/>
      <c r="Y138" s="5"/>
      <c r="Z138" s="6"/>
      <c r="AA138" s="1"/>
      <c r="AB138" s="1"/>
      <c r="AC138" s="1"/>
    </row>
    <row r="139" ht="51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5"/>
      <c r="Y139" s="5"/>
      <c r="Z139" s="6"/>
      <c r="AA139" s="1"/>
      <c r="AB139" s="1"/>
      <c r="AC139" s="1"/>
    </row>
    <row r="140" ht="51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5"/>
      <c r="Y140" s="5"/>
      <c r="Z140" s="6"/>
      <c r="AA140" s="1"/>
      <c r="AB140" s="1"/>
      <c r="AC140" s="1"/>
    </row>
    <row r="141" ht="51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5"/>
      <c r="Y141" s="5"/>
      <c r="Z141" s="6"/>
      <c r="AA141" s="1"/>
      <c r="AB141" s="1"/>
      <c r="AC141" s="1"/>
    </row>
    <row r="142" ht="51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5"/>
      <c r="Y142" s="5"/>
      <c r="Z142" s="6"/>
      <c r="AA142" s="1"/>
      <c r="AB142" s="1"/>
      <c r="AC142" s="1"/>
    </row>
    <row r="143" ht="51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5"/>
      <c r="Y143" s="5"/>
      <c r="Z143" s="6"/>
      <c r="AA143" s="1"/>
      <c r="AB143" s="1"/>
      <c r="AC143" s="1"/>
    </row>
    <row r="144" ht="51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5"/>
      <c r="Y144" s="5"/>
      <c r="Z144" s="6"/>
      <c r="AA144" s="1"/>
      <c r="AB144" s="1"/>
      <c r="AC144" s="1"/>
    </row>
    <row r="145" ht="51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5"/>
      <c r="Y145" s="5"/>
      <c r="Z145" s="6"/>
      <c r="AA145" s="1"/>
      <c r="AB145" s="1"/>
      <c r="AC145" s="1"/>
    </row>
    <row r="146" ht="51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5"/>
      <c r="Y146" s="5"/>
      <c r="Z146" s="6"/>
      <c r="AA146" s="1"/>
      <c r="AB146" s="1"/>
      <c r="AC146" s="1"/>
    </row>
    <row r="147" ht="51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5"/>
      <c r="Y147" s="5"/>
      <c r="Z147" s="6"/>
      <c r="AA147" s="1"/>
      <c r="AB147" s="1"/>
      <c r="AC147" s="1"/>
    </row>
    <row r="148" ht="51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5"/>
      <c r="Y148" s="5"/>
      <c r="Z148" s="6"/>
      <c r="AA148" s="1"/>
      <c r="AB148" s="1"/>
      <c r="AC148" s="1"/>
    </row>
    <row r="149" ht="51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5"/>
      <c r="Y149" s="5"/>
      <c r="Z149" s="6"/>
      <c r="AA149" s="1"/>
      <c r="AB149" s="1"/>
      <c r="AC149" s="1"/>
    </row>
    <row r="150" ht="51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5"/>
      <c r="Y150" s="5"/>
      <c r="Z150" s="6"/>
      <c r="AA150" s="1"/>
      <c r="AB150" s="1"/>
      <c r="AC150" s="1"/>
    </row>
    <row r="151" ht="51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5"/>
      <c r="Y151" s="5"/>
      <c r="Z151" s="6"/>
      <c r="AA151" s="1"/>
      <c r="AB151" s="1"/>
      <c r="AC151" s="1"/>
    </row>
    <row r="152" ht="51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5"/>
      <c r="Y152" s="5"/>
      <c r="Z152" s="6"/>
      <c r="AA152" s="1"/>
      <c r="AB152" s="1"/>
      <c r="AC152" s="1"/>
    </row>
    <row r="153" ht="51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5"/>
      <c r="Y153" s="5"/>
      <c r="Z153" s="6"/>
      <c r="AA153" s="1"/>
      <c r="AB153" s="1"/>
      <c r="AC153" s="1"/>
    </row>
    <row r="154" ht="51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5"/>
      <c r="Y154" s="5"/>
      <c r="Z154" s="6"/>
      <c r="AA154" s="1"/>
      <c r="AB154" s="1"/>
      <c r="AC154" s="1"/>
    </row>
    <row r="155" ht="51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5"/>
      <c r="Y155" s="5"/>
      <c r="Z155" s="6"/>
      <c r="AA155" s="1"/>
      <c r="AB155" s="1"/>
      <c r="AC155" s="1"/>
    </row>
    <row r="156" ht="51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5"/>
      <c r="Y156" s="5"/>
      <c r="Z156" s="6"/>
      <c r="AA156" s="1"/>
      <c r="AB156" s="1"/>
      <c r="AC156" s="1"/>
    </row>
    <row r="157" ht="51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5"/>
      <c r="Y157" s="5"/>
      <c r="Z157" s="6"/>
      <c r="AA157" s="1"/>
      <c r="AB157" s="1"/>
      <c r="AC157" s="1"/>
    </row>
    <row r="158" ht="51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5"/>
      <c r="Y158" s="5"/>
      <c r="Z158" s="6"/>
      <c r="AA158" s="1"/>
      <c r="AB158" s="1"/>
      <c r="AC158" s="1"/>
    </row>
    <row r="159" ht="51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5"/>
      <c r="Y159" s="5"/>
      <c r="Z159" s="6"/>
      <c r="AA159" s="1"/>
      <c r="AB159" s="1"/>
      <c r="AC159" s="1"/>
    </row>
    <row r="160" ht="51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5"/>
      <c r="Y160" s="5"/>
      <c r="Z160" s="6"/>
      <c r="AA160" s="1"/>
      <c r="AB160" s="1"/>
      <c r="AC160" s="1"/>
    </row>
    <row r="161" ht="51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5"/>
      <c r="Y161" s="5"/>
      <c r="Z161" s="6"/>
      <c r="AA161" s="1"/>
      <c r="AB161" s="1"/>
      <c r="AC161" s="1"/>
    </row>
    <row r="162" ht="51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5"/>
      <c r="Y162" s="5"/>
      <c r="Z162" s="6"/>
      <c r="AA162" s="1"/>
      <c r="AB162" s="1"/>
      <c r="AC162" s="1"/>
    </row>
    <row r="163" ht="51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5"/>
      <c r="Y163" s="5"/>
      <c r="Z163" s="6"/>
      <c r="AA163" s="1"/>
      <c r="AB163" s="1"/>
      <c r="AC163" s="1"/>
    </row>
    <row r="164" ht="51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5"/>
      <c r="Y164" s="5"/>
      <c r="Z164" s="6"/>
      <c r="AA164" s="1"/>
      <c r="AB164" s="1"/>
      <c r="AC164" s="1"/>
    </row>
    <row r="165" ht="51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5"/>
      <c r="Y165" s="5"/>
      <c r="Z165" s="6"/>
      <c r="AA165" s="1"/>
      <c r="AB165" s="1"/>
      <c r="AC165" s="1"/>
    </row>
    <row r="166" ht="51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5"/>
      <c r="Y166" s="5"/>
      <c r="Z166" s="6"/>
      <c r="AA166" s="1"/>
      <c r="AB166" s="1"/>
      <c r="AC166" s="1"/>
    </row>
    <row r="167" ht="51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5"/>
      <c r="Y167" s="5"/>
      <c r="Z167" s="6"/>
      <c r="AA167" s="1"/>
      <c r="AB167" s="1"/>
      <c r="AC167" s="1"/>
    </row>
    <row r="168" ht="51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5"/>
      <c r="Y168" s="5"/>
      <c r="Z168" s="6"/>
      <c r="AA168" s="1"/>
      <c r="AB168" s="1"/>
      <c r="AC168" s="1"/>
    </row>
    <row r="169" ht="51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5"/>
      <c r="Y169" s="5"/>
      <c r="Z169" s="6"/>
      <c r="AA169" s="1"/>
      <c r="AB169" s="1"/>
      <c r="AC169" s="1"/>
    </row>
    <row r="170" ht="51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5"/>
      <c r="Y170" s="5"/>
      <c r="Z170" s="6"/>
      <c r="AA170" s="1"/>
      <c r="AB170" s="1"/>
      <c r="AC170" s="1"/>
    </row>
    <row r="171" ht="51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  <c r="X171" s="5"/>
      <c r="Y171" s="5"/>
      <c r="Z171" s="6"/>
      <c r="AA171" s="1"/>
      <c r="AB171" s="1"/>
      <c r="AC171" s="1"/>
    </row>
    <row r="172" ht="51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5"/>
      <c r="Y172" s="5"/>
      <c r="Z172" s="6"/>
      <c r="AA172" s="1"/>
      <c r="AB172" s="1"/>
      <c r="AC172" s="1"/>
    </row>
    <row r="173" ht="51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  <c r="X173" s="5"/>
      <c r="Y173" s="5"/>
      <c r="Z173" s="6"/>
      <c r="AA173" s="1"/>
      <c r="AB173" s="1"/>
      <c r="AC173" s="1"/>
    </row>
    <row r="174" ht="51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5"/>
      <c r="Y174" s="5"/>
      <c r="Z174" s="6"/>
      <c r="AA174" s="1"/>
      <c r="AB174" s="1"/>
      <c r="AC174" s="1"/>
    </row>
    <row r="175" ht="51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5"/>
      <c r="Y175" s="5"/>
      <c r="Z175" s="6"/>
      <c r="AA175" s="1"/>
      <c r="AB175" s="1"/>
      <c r="AC175" s="1"/>
    </row>
    <row r="176" ht="51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5"/>
      <c r="Y176" s="5"/>
      <c r="Z176" s="6"/>
      <c r="AA176" s="1"/>
      <c r="AB176" s="1"/>
      <c r="AC176" s="1"/>
    </row>
    <row r="177" ht="51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5"/>
      <c r="Y177" s="5"/>
      <c r="Z177" s="6"/>
      <c r="AA177" s="1"/>
      <c r="AB177" s="1"/>
      <c r="AC177" s="1"/>
    </row>
    <row r="178" ht="51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  <c r="X178" s="5"/>
      <c r="Y178" s="5"/>
      <c r="Z178" s="6"/>
      <c r="AA178" s="1"/>
      <c r="AB178" s="1"/>
      <c r="AC178" s="1"/>
    </row>
    <row r="179" ht="51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  <c r="X179" s="5"/>
      <c r="Y179" s="5"/>
      <c r="Z179" s="6"/>
      <c r="AA179" s="1"/>
      <c r="AB179" s="1"/>
      <c r="AC179" s="1"/>
    </row>
    <row r="180" ht="51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  <c r="X180" s="5"/>
      <c r="Y180" s="5"/>
      <c r="Z180" s="6"/>
      <c r="AA180" s="1"/>
      <c r="AB180" s="1"/>
      <c r="AC180" s="1"/>
    </row>
    <row r="181" ht="51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4"/>
      <c r="X181" s="5"/>
      <c r="Y181" s="5"/>
      <c r="Z181" s="6"/>
      <c r="AA181" s="1"/>
      <c r="AB181" s="1"/>
      <c r="AC181" s="1"/>
    </row>
    <row r="182" ht="51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5"/>
      <c r="Y182" s="5"/>
      <c r="Z182" s="6"/>
      <c r="AA182" s="1"/>
      <c r="AB182" s="1"/>
      <c r="AC182" s="1"/>
    </row>
    <row r="183" ht="51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  <c r="X183" s="5"/>
      <c r="Y183" s="5"/>
      <c r="Z183" s="6"/>
      <c r="AA183" s="1"/>
      <c r="AB183" s="1"/>
      <c r="AC183" s="1"/>
    </row>
    <row r="184" ht="51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5"/>
      <c r="Y184" s="5"/>
      <c r="Z184" s="6"/>
      <c r="AA184" s="1"/>
      <c r="AB184" s="1"/>
      <c r="AC184" s="1"/>
    </row>
    <row r="185" ht="51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5"/>
      <c r="Y185" s="5"/>
      <c r="Z185" s="6"/>
      <c r="AA185" s="1"/>
      <c r="AB185" s="1"/>
      <c r="AC185" s="1"/>
    </row>
    <row r="186" ht="51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5"/>
      <c r="Y186" s="5"/>
      <c r="Z186" s="6"/>
      <c r="AA186" s="1"/>
      <c r="AB186" s="1"/>
      <c r="AC186" s="1"/>
    </row>
    <row r="187" ht="51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5"/>
      <c r="Y187" s="5"/>
      <c r="Z187" s="6"/>
      <c r="AA187" s="1"/>
      <c r="AB187" s="1"/>
      <c r="AC187" s="1"/>
    </row>
    <row r="188" ht="51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5"/>
      <c r="Y188" s="5"/>
      <c r="Z188" s="6"/>
      <c r="AA188" s="1"/>
      <c r="AB188" s="1"/>
      <c r="AC188" s="1"/>
    </row>
    <row r="189" ht="51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5"/>
      <c r="Y189" s="5"/>
      <c r="Z189" s="6"/>
      <c r="AA189" s="1"/>
      <c r="AB189" s="1"/>
      <c r="AC189" s="1"/>
    </row>
    <row r="190" ht="51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5"/>
      <c r="Y190" s="5"/>
      <c r="Z190" s="6"/>
      <c r="AA190" s="1"/>
      <c r="AB190" s="1"/>
      <c r="AC190" s="1"/>
    </row>
    <row r="191" ht="51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5"/>
      <c r="Y191" s="5"/>
      <c r="Z191" s="6"/>
      <c r="AA191" s="1"/>
      <c r="AB191" s="1"/>
      <c r="AC191" s="1"/>
    </row>
    <row r="192" ht="51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5"/>
      <c r="Y192" s="5"/>
      <c r="Z192" s="6"/>
      <c r="AA192" s="1"/>
      <c r="AB192" s="1"/>
      <c r="AC192" s="1"/>
    </row>
    <row r="193" ht="51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5"/>
      <c r="Y193" s="5"/>
      <c r="Z193" s="6"/>
      <c r="AA193" s="1"/>
      <c r="AB193" s="1"/>
      <c r="AC193" s="1"/>
    </row>
    <row r="194" ht="51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5"/>
      <c r="Y194" s="5"/>
      <c r="Z194" s="6"/>
      <c r="AA194" s="1"/>
      <c r="AB194" s="1"/>
      <c r="AC194" s="1"/>
    </row>
    <row r="195" ht="51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5"/>
      <c r="Y195" s="5"/>
      <c r="Z195" s="6"/>
      <c r="AA195" s="1"/>
      <c r="AB195" s="1"/>
      <c r="AC195" s="1"/>
    </row>
    <row r="196" ht="51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  <c r="X196" s="5"/>
      <c r="Y196" s="5"/>
      <c r="Z196" s="6"/>
      <c r="AA196" s="1"/>
      <c r="AB196" s="1"/>
      <c r="AC196" s="1"/>
    </row>
    <row r="197" ht="51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4"/>
      <c r="X197" s="5"/>
      <c r="Y197" s="5"/>
      <c r="Z197" s="6"/>
      <c r="AA197" s="1"/>
      <c r="AB197" s="1"/>
      <c r="AC197" s="1"/>
    </row>
    <row r="198" ht="51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4"/>
      <c r="X198" s="5"/>
      <c r="Y198" s="5"/>
      <c r="Z198" s="6"/>
      <c r="AA198" s="1"/>
      <c r="AB198" s="1"/>
      <c r="AC198" s="1"/>
    </row>
    <row r="199" ht="51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4"/>
      <c r="X199" s="5"/>
      <c r="Y199" s="5"/>
      <c r="Z199" s="6"/>
      <c r="AA199" s="1"/>
      <c r="AB199" s="1"/>
      <c r="AC199" s="1"/>
    </row>
    <row r="200" ht="51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4"/>
      <c r="X200" s="5"/>
      <c r="Y200" s="5"/>
      <c r="Z200" s="6"/>
      <c r="AA200" s="1"/>
      <c r="AB200" s="1"/>
      <c r="AC200" s="1"/>
    </row>
    <row r="201" ht="51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4"/>
      <c r="X201" s="5"/>
      <c r="Y201" s="5"/>
      <c r="Z201" s="6"/>
      <c r="AA201" s="1"/>
      <c r="AB201" s="1"/>
      <c r="AC201" s="1"/>
    </row>
    <row r="202" ht="51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4"/>
      <c r="X202" s="5"/>
      <c r="Y202" s="5"/>
      <c r="Z202" s="6"/>
      <c r="AA202" s="1"/>
      <c r="AB202" s="1"/>
      <c r="AC202" s="1"/>
    </row>
    <row r="203" ht="51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4"/>
      <c r="X203" s="5"/>
      <c r="Y203" s="5"/>
      <c r="Z203" s="6"/>
      <c r="AA203" s="1"/>
      <c r="AB203" s="1"/>
      <c r="AC203" s="1"/>
    </row>
    <row r="204" ht="51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4"/>
      <c r="X204" s="5"/>
      <c r="Y204" s="5"/>
      <c r="Z204" s="6"/>
      <c r="AA204" s="1"/>
      <c r="AB204" s="1"/>
      <c r="AC204" s="1"/>
    </row>
    <row r="205" ht="51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4"/>
      <c r="X205" s="5"/>
      <c r="Y205" s="5"/>
      <c r="Z205" s="6"/>
      <c r="AA205" s="1"/>
      <c r="AB205" s="1"/>
      <c r="AC205" s="1"/>
    </row>
    <row r="206" ht="51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4"/>
      <c r="X206" s="5"/>
      <c r="Y206" s="5"/>
      <c r="Z206" s="6"/>
      <c r="AA206" s="1"/>
      <c r="AB206" s="1"/>
      <c r="AC206" s="1"/>
    </row>
    <row r="207" ht="51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4"/>
      <c r="X207" s="5"/>
      <c r="Y207" s="5"/>
      <c r="Z207" s="6"/>
      <c r="AA207" s="1"/>
      <c r="AB207" s="1"/>
      <c r="AC207" s="1"/>
    </row>
    <row r="208" ht="51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4"/>
      <c r="X208" s="5"/>
      <c r="Y208" s="5"/>
      <c r="Z208" s="6"/>
      <c r="AA208" s="1"/>
      <c r="AB208" s="1"/>
      <c r="AC208" s="1"/>
    </row>
    <row r="209" ht="51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4"/>
      <c r="X209" s="5"/>
      <c r="Y209" s="5"/>
      <c r="Z209" s="6"/>
      <c r="AA209" s="1"/>
      <c r="AB209" s="1"/>
      <c r="AC209" s="1"/>
    </row>
    <row r="210" ht="51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4"/>
      <c r="X210" s="5"/>
      <c r="Y210" s="5"/>
      <c r="Z210" s="6"/>
      <c r="AA210" s="1"/>
      <c r="AB210" s="1"/>
      <c r="AC210" s="1"/>
    </row>
    <row r="211" ht="51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4"/>
      <c r="X211" s="5"/>
      <c r="Y211" s="5"/>
      <c r="Z211" s="6"/>
      <c r="AA211" s="1"/>
      <c r="AB211" s="1"/>
      <c r="AC211" s="1"/>
    </row>
    <row r="212" ht="51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4"/>
      <c r="X212" s="5"/>
      <c r="Y212" s="5"/>
      <c r="Z212" s="6"/>
      <c r="AA212" s="1"/>
      <c r="AB212" s="1"/>
      <c r="AC212" s="1"/>
    </row>
    <row r="213" ht="51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4"/>
      <c r="X213" s="5"/>
      <c r="Y213" s="5"/>
      <c r="Z213" s="6"/>
      <c r="AA213" s="1"/>
      <c r="AB213" s="1"/>
      <c r="AC213" s="1"/>
    </row>
    <row r="214" ht="51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4"/>
      <c r="X214" s="5"/>
      <c r="Y214" s="5"/>
      <c r="Z214" s="6"/>
      <c r="AA214" s="1"/>
      <c r="AB214" s="1"/>
      <c r="AC214" s="1"/>
    </row>
    <row r="215" ht="51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4"/>
      <c r="X215" s="5"/>
      <c r="Y215" s="5"/>
      <c r="Z215" s="6"/>
      <c r="AA215" s="1"/>
      <c r="AB215" s="1"/>
      <c r="AC215" s="1"/>
    </row>
    <row r="216" ht="51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4"/>
      <c r="X216" s="5"/>
      <c r="Y216" s="5"/>
      <c r="Z216" s="6"/>
      <c r="AA216" s="1"/>
      <c r="AB216" s="1"/>
      <c r="AC216" s="1"/>
    </row>
    <row r="217" ht="51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4"/>
      <c r="X217" s="5"/>
      <c r="Y217" s="5"/>
      <c r="Z217" s="6"/>
      <c r="AA217" s="1"/>
      <c r="AB217" s="1"/>
      <c r="AC217" s="1"/>
    </row>
    <row r="218" ht="51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4"/>
      <c r="X218" s="5"/>
      <c r="Y218" s="5"/>
      <c r="Z218" s="6"/>
      <c r="AA218" s="1"/>
      <c r="AB218" s="1"/>
      <c r="AC218" s="1"/>
    </row>
    <row r="219" ht="51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4"/>
      <c r="X219" s="5"/>
      <c r="Y219" s="5"/>
      <c r="Z219" s="6"/>
      <c r="AA219" s="1"/>
      <c r="AB219" s="1"/>
      <c r="AC219" s="1"/>
    </row>
    <row r="220" ht="51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4"/>
      <c r="X220" s="5"/>
      <c r="Y220" s="5"/>
      <c r="Z220" s="6"/>
      <c r="AA220" s="1"/>
      <c r="AB220" s="1"/>
      <c r="AC220" s="1"/>
    </row>
    <row r="221" ht="51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4"/>
      <c r="X221" s="5"/>
      <c r="Y221" s="5"/>
      <c r="Z221" s="6"/>
      <c r="AA221" s="1"/>
      <c r="AB221" s="1"/>
      <c r="AC221" s="1"/>
    </row>
    <row r="222" ht="51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4"/>
      <c r="X222" s="5"/>
      <c r="Y222" s="5"/>
      <c r="Z222" s="6"/>
      <c r="AA222" s="1"/>
      <c r="AB222" s="1"/>
      <c r="AC222" s="1"/>
    </row>
    <row r="223" ht="51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4"/>
      <c r="X223" s="5"/>
      <c r="Y223" s="5"/>
      <c r="Z223" s="6"/>
      <c r="AA223" s="1"/>
      <c r="AB223" s="1"/>
      <c r="AC223" s="1"/>
    </row>
    <row r="224" ht="51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4"/>
      <c r="X224" s="5"/>
      <c r="Y224" s="5"/>
      <c r="Z224" s="6"/>
      <c r="AA224" s="1"/>
      <c r="AB224" s="1"/>
      <c r="AC224" s="1"/>
    </row>
    <row r="225" ht="51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4"/>
      <c r="X225" s="5"/>
      <c r="Y225" s="5"/>
      <c r="Z225" s="6"/>
      <c r="AA225" s="1"/>
      <c r="AB225" s="1"/>
      <c r="AC225" s="1"/>
    </row>
    <row r="226" ht="51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4"/>
      <c r="X226" s="5"/>
      <c r="Y226" s="5"/>
      <c r="Z226" s="6"/>
      <c r="AA226" s="1"/>
      <c r="AB226" s="1"/>
      <c r="AC226" s="1"/>
    </row>
    <row r="227" ht="51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4"/>
      <c r="X227" s="5"/>
      <c r="Y227" s="5"/>
      <c r="Z227" s="6"/>
      <c r="AA227" s="1"/>
      <c r="AB227" s="1"/>
      <c r="AC227" s="1"/>
    </row>
    <row r="228" ht="51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4"/>
      <c r="X228" s="5"/>
      <c r="Y228" s="5"/>
      <c r="Z228" s="6"/>
      <c r="AA228" s="1"/>
      <c r="AB228" s="1"/>
      <c r="AC228" s="1"/>
    </row>
    <row r="229" ht="51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4"/>
      <c r="X229" s="5"/>
      <c r="Y229" s="5"/>
      <c r="Z229" s="6"/>
      <c r="AA229" s="1"/>
      <c r="AB229" s="1"/>
      <c r="AC229" s="1"/>
    </row>
    <row r="230" ht="51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4"/>
      <c r="X230" s="5"/>
      <c r="Y230" s="5"/>
      <c r="Z230" s="6"/>
      <c r="AA230" s="1"/>
      <c r="AB230" s="1"/>
      <c r="AC230" s="1"/>
    </row>
    <row r="231" ht="51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4"/>
      <c r="X231" s="5"/>
      <c r="Y231" s="5"/>
      <c r="Z231" s="6"/>
      <c r="AA231" s="1"/>
      <c r="AB231" s="1"/>
      <c r="AC231" s="1"/>
    </row>
    <row r="232" ht="51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4"/>
      <c r="X232" s="5"/>
      <c r="Y232" s="5"/>
      <c r="Z232" s="6"/>
      <c r="AA232" s="1"/>
      <c r="AB232" s="1"/>
      <c r="AC232" s="1"/>
    </row>
    <row r="233" ht="51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4"/>
      <c r="X233" s="5"/>
      <c r="Y233" s="5"/>
      <c r="Z233" s="6"/>
      <c r="AA233" s="1"/>
      <c r="AB233" s="1"/>
      <c r="AC233" s="1"/>
    </row>
    <row r="234" ht="51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4"/>
      <c r="X234" s="5"/>
      <c r="Y234" s="5"/>
      <c r="Z234" s="6"/>
      <c r="AA234" s="1"/>
      <c r="AB234" s="1"/>
      <c r="AC234" s="1"/>
    </row>
    <row r="235" ht="51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4"/>
      <c r="X235" s="5"/>
      <c r="Y235" s="5"/>
      <c r="Z235" s="6"/>
      <c r="AA235" s="1"/>
      <c r="AB235" s="1"/>
      <c r="AC235" s="1"/>
    </row>
    <row r="236" ht="51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4"/>
      <c r="X236" s="5"/>
      <c r="Y236" s="5"/>
      <c r="Z236" s="6"/>
      <c r="AA236" s="1"/>
      <c r="AB236" s="1"/>
      <c r="AC236" s="1"/>
    </row>
    <row r="237" ht="51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4"/>
      <c r="X237" s="5"/>
      <c r="Y237" s="5"/>
      <c r="Z237" s="6"/>
      <c r="AA237" s="1"/>
      <c r="AB237" s="1"/>
      <c r="AC237" s="1"/>
    </row>
    <row r="238" ht="51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4"/>
      <c r="X238" s="5"/>
      <c r="Y238" s="5"/>
      <c r="Z238" s="6"/>
      <c r="AA238" s="1"/>
      <c r="AB238" s="1"/>
      <c r="AC238" s="1"/>
    </row>
    <row r="239" ht="51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4"/>
      <c r="X239" s="5"/>
      <c r="Y239" s="5"/>
      <c r="Z239" s="6"/>
      <c r="AA239" s="1"/>
      <c r="AB239" s="1"/>
      <c r="AC239" s="1"/>
    </row>
    <row r="240" ht="51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4"/>
      <c r="X240" s="5"/>
      <c r="Y240" s="5"/>
      <c r="Z240" s="6"/>
      <c r="AA240" s="1"/>
      <c r="AB240" s="1"/>
      <c r="AC240" s="1"/>
    </row>
    <row r="241" ht="51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4"/>
      <c r="X241" s="5"/>
      <c r="Y241" s="5"/>
      <c r="Z241" s="6"/>
      <c r="AA241" s="1"/>
      <c r="AB241" s="1"/>
      <c r="AC241" s="1"/>
    </row>
    <row r="242" ht="51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4"/>
      <c r="X242" s="5"/>
      <c r="Y242" s="5"/>
      <c r="Z242" s="6"/>
      <c r="AA242" s="1"/>
      <c r="AB242" s="1"/>
      <c r="AC242" s="1"/>
    </row>
    <row r="243" ht="51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4"/>
      <c r="X243" s="5"/>
      <c r="Y243" s="5"/>
      <c r="Z243" s="6"/>
      <c r="AA243" s="1"/>
      <c r="AB243" s="1"/>
      <c r="AC243" s="1"/>
    </row>
    <row r="244" ht="51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4"/>
      <c r="X244" s="5"/>
      <c r="Y244" s="5"/>
      <c r="Z244" s="6"/>
      <c r="AA244" s="1"/>
      <c r="AB244" s="1"/>
      <c r="AC244" s="1"/>
    </row>
    <row r="245" ht="51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4"/>
      <c r="X245" s="5"/>
      <c r="Y245" s="5"/>
      <c r="Z245" s="6"/>
      <c r="AA245" s="1"/>
      <c r="AB245" s="1"/>
      <c r="AC245" s="1"/>
    </row>
    <row r="246" ht="51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4"/>
      <c r="X246" s="5"/>
      <c r="Y246" s="5"/>
      <c r="Z246" s="6"/>
      <c r="AA246" s="1"/>
      <c r="AB246" s="1"/>
      <c r="AC246" s="1"/>
    </row>
    <row r="247" ht="51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4"/>
      <c r="X247" s="5"/>
      <c r="Y247" s="5"/>
      <c r="Z247" s="6"/>
      <c r="AA247" s="1"/>
      <c r="AB247" s="1"/>
      <c r="AC247" s="1"/>
    </row>
    <row r="248" ht="51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4"/>
      <c r="X248" s="5"/>
      <c r="Y248" s="5"/>
      <c r="Z248" s="6"/>
      <c r="AA248" s="1"/>
      <c r="AB248" s="1"/>
      <c r="AC248" s="1"/>
    </row>
    <row r="249" ht="51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4"/>
      <c r="X249" s="5"/>
      <c r="Y249" s="5"/>
      <c r="Z249" s="6"/>
      <c r="AA249" s="1"/>
      <c r="AB249" s="1"/>
      <c r="AC249" s="1"/>
    </row>
    <row r="250" ht="51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4"/>
      <c r="X250" s="5"/>
      <c r="Y250" s="5"/>
      <c r="Z250" s="6"/>
      <c r="AA250" s="1"/>
      <c r="AB250" s="1"/>
      <c r="AC250" s="1"/>
    </row>
    <row r="251" ht="51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4"/>
      <c r="X251" s="5"/>
      <c r="Y251" s="5"/>
      <c r="Z251" s="6"/>
      <c r="AA251" s="1"/>
      <c r="AB251" s="1"/>
      <c r="AC251" s="1"/>
    </row>
    <row r="252" ht="51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4"/>
      <c r="X252" s="5"/>
      <c r="Y252" s="5"/>
      <c r="Z252" s="6"/>
      <c r="AA252" s="1"/>
      <c r="AB252" s="1"/>
      <c r="AC252" s="1"/>
    </row>
    <row r="253" ht="51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4"/>
      <c r="X253" s="5"/>
      <c r="Y253" s="5"/>
      <c r="Z253" s="6"/>
      <c r="AA253" s="1"/>
      <c r="AB253" s="1"/>
      <c r="AC253" s="1"/>
    </row>
    <row r="254" ht="51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4"/>
      <c r="X254" s="5"/>
      <c r="Y254" s="5"/>
      <c r="Z254" s="6"/>
      <c r="AA254" s="1"/>
      <c r="AB254" s="1"/>
      <c r="AC254" s="1"/>
    </row>
    <row r="255" ht="51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4"/>
      <c r="X255" s="5"/>
      <c r="Y255" s="5"/>
      <c r="Z255" s="6"/>
      <c r="AA255" s="1"/>
      <c r="AB255" s="1"/>
      <c r="AC255" s="1"/>
    </row>
    <row r="256" ht="51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4"/>
      <c r="X256" s="5"/>
      <c r="Y256" s="5"/>
      <c r="Z256" s="6"/>
      <c r="AA256" s="1"/>
      <c r="AB256" s="1"/>
      <c r="AC256" s="1"/>
    </row>
    <row r="257" ht="51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4"/>
      <c r="X257" s="5"/>
      <c r="Y257" s="5"/>
      <c r="Z257" s="6"/>
      <c r="AA257" s="1"/>
      <c r="AB257" s="1"/>
      <c r="AC257" s="1"/>
    </row>
    <row r="258" ht="51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4"/>
      <c r="X258" s="5"/>
      <c r="Y258" s="5"/>
      <c r="Z258" s="6"/>
      <c r="AA258" s="1"/>
      <c r="AB258" s="1"/>
      <c r="AC258" s="1"/>
    </row>
    <row r="259" ht="51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4"/>
      <c r="X259" s="5"/>
      <c r="Y259" s="5"/>
      <c r="Z259" s="6"/>
      <c r="AA259" s="1"/>
      <c r="AB259" s="1"/>
      <c r="AC259" s="1"/>
    </row>
    <row r="260" ht="51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4"/>
      <c r="X260" s="5"/>
      <c r="Y260" s="5"/>
      <c r="Z260" s="6"/>
      <c r="AA260" s="1"/>
      <c r="AB260" s="1"/>
      <c r="AC260" s="1"/>
    </row>
    <row r="261" ht="51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4"/>
      <c r="X261" s="5"/>
      <c r="Y261" s="5"/>
      <c r="Z261" s="6"/>
      <c r="AA261" s="1"/>
      <c r="AB261" s="1"/>
      <c r="AC261" s="1"/>
    </row>
    <row r="262" ht="51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4"/>
      <c r="X262" s="5"/>
      <c r="Y262" s="5"/>
      <c r="Z262" s="6"/>
      <c r="AA262" s="1"/>
      <c r="AB262" s="1"/>
      <c r="AC262" s="1"/>
    </row>
    <row r="263" ht="51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4"/>
      <c r="X263" s="5"/>
      <c r="Y263" s="5"/>
      <c r="Z263" s="6"/>
      <c r="AA263" s="1"/>
      <c r="AB263" s="1"/>
      <c r="AC263" s="1"/>
    </row>
    <row r="264" ht="51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4"/>
      <c r="X264" s="5"/>
      <c r="Y264" s="5"/>
      <c r="Z264" s="6"/>
      <c r="AA264" s="1"/>
      <c r="AB264" s="1"/>
      <c r="AC264" s="1"/>
    </row>
    <row r="265" ht="51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4"/>
      <c r="X265" s="5"/>
      <c r="Y265" s="5"/>
      <c r="Z265" s="6"/>
      <c r="AA265" s="1"/>
      <c r="AB265" s="1"/>
      <c r="AC265" s="1"/>
    </row>
    <row r="266" ht="51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4"/>
      <c r="X266" s="5"/>
      <c r="Y266" s="5"/>
      <c r="Z266" s="6"/>
      <c r="AA266" s="1"/>
      <c r="AB266" s="1"/>
      <c r="AC266" s="1"/>
    </row>
    <row r="267" ht="51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4"/>
      <c r="X267" s="5"/>
      <c r="Y267" s="5"/>
      <c r="Z267" s="6"/>
      <c r="AA267" s="1"/>
      <c r="AB267" s="1"/>
      <c r="AC267" s="1"/>
    </row>
    <row r="268" ht="51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4"/>
      <c r="X268" s="5"/>
      <c r="Y268" s="5"/>
      <c r="Z268" s="6"/>
      <c r="AA268" s="1"/>
      <c r="AB268" s="1"/>
      <c r="AC268" s="1"/>
    </row>
    <row r="269" ht="51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4"/>
      <c r="X269" s="5"/>
      <c r="Y269" s="5"/>
      <c r="Z269" s="6"/>
      <c r="AA269" s="1"/>
      <c r="AB269" s="1"/>
      <c r="AC269" s="1"/>
    </row>
    <row r="270" ht="51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4"/>
      <c r="X270" s="5"/>
      <c r="Y270" s="5"/>
      <c r="Z270" s="6"/>
      <c r="AA270" s="1"/>
      <c r="AB270" s="1"/>
      <c r="AC270" s="1"/>
    </row>
    <row r="271" ht="51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4"/>
      <c r="X271" s="5"/>
      <c r="Y271" s="5"/>
      <c r="Z271" s="6"/>
      <c r="AA271" s="1"/>
      <c r="AB271" s="1"/>
      <c r="AC271" s="1"/>
    </row>
    <row r="272" ht="51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4"/>
      <c r="X272" s="5"/>
      <c r="Y272" s="5"/>
      <c r="Z272" s="6"/>
      <c r="AA272" s="1"/>
      <c r="AB272" s="1"/>
      <c r="AC272" s="1"/>
    </row>
    <row r="273" ht="51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4"/>
      <c r="X273" s="5"/>
      <c r="Y273" s="5"/>
      <c r="Z273" s="6"/>
      <c r="AA273" s="1"/>
      <c r="AB273" s="1"/>
      <c r="AC273" s="1"/>
    </row>
    <row r="274" ht="51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4"/>
      <c r="X274" s="5"/>
      <c r="Y274" s="5"/>
      <c r="Z274" s="6"/>
      <c r="AA274" s="1"/>
      <c r="AB274" s="1"/>
      <c r="AC274" s="1"/>
    </row>
    <row r="275" ht="51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4"/>
      <c r="X275" s="5"/>
      <c r="Y275" s="5"/>
      <c r="Z275" s="6"/>
      <c r="AA275" s="1"/>
      <c r="AB275" s="1"/>
      <c r="AC275" s="1"/>
    </row>
    <row r="276" ht="51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4"/>
      <c r="X276" s="5"/>
      <c r="Y276" s="5"/>
      <c r="Z276" s="6"/>
      <c r="AA276" s="1"/>
      <c r="AB276" s="1"/>
      <c r="AC276" s="1"/>
    </row>
    <row r="277" ht="51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4"/>
      <c r="X277" s="5"/>
      <c r="Y277" s="5"/>
      <c r="Z277" s="6"/>
      <c r="AA277" s="1"/>
      <c r="AB277" s="1"/>
      <c r="AC277" s="1"/>
    </row>
    <row r="278" ht="51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4"/>
      <c r="X278" s="5"/>
      <c r="Y278" s="5"/>
      <c r="Z278" s="6"/>
      <c r="AA278" s="1"/>
      <c r="AB278" s="1"/>
      <c r="AC278" s="1"/>
    </row>
    <row r="279" ht="51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4"/>
      <c r="X279" s="5"/>
      <c r="Y279" s="5"/>
      <c r="Z279" s="6"/>
      <c r="AA279" s="1"/>
      <c r="AB279" s="1"/>
      <c r="AC279" s="1"/>
    </row>
    <row r="280" ht="51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4"/>
      <c r="X280" s="5"/>
      <c r="Y280" s="5"/>
      <c r="Z280" s="6"/>
      <c r="AA280" s="1"/>
      <c r="AB280" s="1"/>
      <c r="AC280" s="1"/>
    </row>
    <row r="281" ht="51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4"/>
      <c r="X281" s="5"/>
      <c r="Y281" s="5"/>
      <c r="Z281" s="6"/>
      <c r="AA281" s="1"/>
      <c r="AB281" s="1"/>
      <c r="AC281" s="1"/>
    </row>
    <row r="282" ht="51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4"/>
      <c r="X282" s="5"/>
      <c r="Y282" s="5"/>
      <c r="Z282" s="6"/>
      <c r="AA282" s="1"/>
      <c r="AB282" s="1"/>
      <c r="AC282" s="1"/>
    </row>
    <row r="283" ht="51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4"/>
      <c r="X283" s="5"/>
      <c r="Y283" s="5"/>
      <c r="Z283" s="6"/>
      <c r="AA283" s="1"/>
      <c r="AB283" s="1"/>
      <c r="AC283" s="1"/>
    </row>
    <row r="284" ht="51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4"/>
      <c r="X284" s="5"/>
      <c r="Y284" s="5"/>
      <c r="Z284" s="6"/>
      <c r="AA284" s="1"/>
      <c r="AB284" s="1"/>
      <c r="AC284" s="1"/>
    </row>
    <row r="285" ht="51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4"/>
      <c r="X285" s="5"/>
      <c r="Y285" s="5"/>
      <c r="Z285" s="6"/>
      <c r="AA285" s="1"/>
      <c r="AB285" s="1"/>
      <c r="AC285" s="1"/>
    </row>
    <row r="286" ht="51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4"/>
      <c r="X286" s="5"/>
      <c r="Y286" s="5"/>
      <c r="Z286" s="6"/>
      <c r="AA286" s="1"/>
      <c r="AB286" s="1"/>
      <c r="AC286" s="1"/>
    </row>
    <row r="287" ht="51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4"/>
      <c r="X287" s="5"/>
      <c r="Y287" s="5"/>
      <c r="Z287" s="6"/>
      <c r="AA287" s="1"/>
      <c r="AB287" s="1"/>
      <c r="AC287" s="1"/>
    </row>
    <row r="288" ht="51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4"/>
      <c r="X288" s="5"/>
      <c r="Y288" s="5"/>
      <c r="Z288" s="6"/>
      <c r="AA288" s="1"/>
      <c r="AB288" s="1"/>
      <c r="AC288" s="1"/>
    </row>
    <row r="289" ht="51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4"/>
      <c r="X289" s="5"/>
      <c r="Y289" s="5"/>
      <c r="Z289" s="6"/>
      <c r="AA289" s="1"/>
      <c r="AB289" s="1"/>
      <c r="AC289" s="1"/>
    </row>
    <row r="290" ht="51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4"/>
      <c r="X290" s="5"/>
      <c r="Y290" s="5"/>
      <c r="Z290" s="6"/>
      <c r="AA290" s="1"/>
      <c r="AB290" s="1"/>
      <c r="AC290" s="1"/>
    </row>
    <row r="291" ht="51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4"/>
      <c r="X291" s="5"/>
      <c r="Y291" s="5"/>
      <c r="Z291" s="6"/>
      <c r="AA291" s="1"/>
      <c r="AB291" s="1"/>
      <c r="AC291" s="1"/>
    </row>
    <row r="292" ht="51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4"/>
      <c r="X292" s="5"/>
      <c r="Y292" s="5"/>
      <c r="Z292" s="6"/>
      <c r="AA292" s="1"/>
      <c r="AB292" s="1"/>
      <c r="AC292" s="1"/>
    </row>
    <row r="293" ht="51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4"/>
      <c r="X293" s="5"/>
      <c r="Y293" s="5"/>
      <c r="Z293" s="6"/>
      <c r="AA293" s="1"/>
      <c r="AB293" s="1"/>
      <c r="AC293" s="1"/>
    </row>
    <row r="294" ht="51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4"/>
      <c r="X294" s="5"/>
      <c r="Y294" s="5"/>
      <c r="Z294" s="6"/>
      <c r="AA294" s="1"/>
      <c r="AB294" s="1"/>
      <c r="AC294" s="1"/>
    </row>
    <row r="295" ht="51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4"/>
      <c r="X295" s="5"/>
      <c r="Y295" s="5"/>
      <c r="Z295" s="6"/>
      <c r="AA295" s="1"/>
      <c r="AB295" s="1"/>
      <c r="AC295" s="1"/>
    </row>
    <row r="296" ht="51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4"/>
      <c r="X296" s="5"/>
      <c r="Y296" s="5"/>
      <c r="Z296" s="6"/>
      <c r="AA296" s="1"/>
      <c r="AB296" s="1"/>
      <c r="AC296" s="1"/>
    </row>
    <row r="297" ht="51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4"/>
      <c r="X297" s="5"/>
      <c r="Y297" s="5"/>
      <c r="Z297" s="6"/>
      <c r="AA297" s="1"/>
      <c r="AB297" s="1"/>
      <c r="AC297" s="1"/>
    </row>
    <row r="298" ht="51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4"/>
      <c r="X298" s="5"/>
      <c r="Y298" s="5"/>
      <c r="Z298" s="6"/>
      <c r="AA298" s="1"/>
      <c r="AB298" s="1"/>
      <c r="AC298" s="1"/>
    </row>
    <row r="299" ht="51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4"/>
      <c r="X299" s="5"/>
      <c r="Y299" s="5"/>
      <c r="Z299" s="6"/>
      <c r="AA299" s="1"/>
      <c r="AB299" s="1"/>
      <c r="AC299" s="1"/>
    </row>
    <row r="300" ht="51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4"/>
      <c r="X300" s="5"/>
      <c r="Y300" s="5"/>
      <c r="Z300" s="6"/>
      <c r="AA300" s="1"/>
      <c r="AB300" s="1"/>
      <c r="AC300" s="1"/>
    </row>
    <row r="301" ht="51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4"/>
      <c r="X301" s="5"/>
      <c r="Y301" s="5"/>
      <c r="Z301" s="6"/>
      <c r="AA301" s="1"/>
      <c r="AB301" s="1"/>
      <c r="AC301" s="1"/>
    </row>
    <row r="302" ht="51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4"/>
      <c r="X302" s="5"/>
      <c r="Y302" s="5"/>
      <c r="Z302" s="6"/>
      <c r="AA302" s="1"/>
      <c r="AB302" s="1"/>
      <c r="AC302" s="1"/>
    </row>
    <row r="303" ht="51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4"/>
      <c r="X303" s="5"/>
      <c r="Y303" s="5"/>
      <c r="Z303" s="6"/>
      <c r="AA303" s="1"/>
      <c r="AB303" s="1"/>
      <c r="AC303" s="1"/>
    </row>
    <row r="304" ht="51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4"/>
      <c r="X304" s="5"/>
      <c r="Y304" s="5"/>
      <c r="Z304" s="6"/>
      <c r="AA304" s="1"/>
      <c r="AB304" s="1"/>
      <c r="AC304" s="1"/>
    </row>
    <row r="305" ht="51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4"/>
      <c r="X305" s="5"/>
      <c r="Y305" s="5"/>
      <c r="Z305" s="6"/>
      <c r="AA305" s="1"/>
      <c r="AB305" s="1"/>
      <c r="AC305" s="1"/>
    </row>
    <row r="306" ht="51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4"/>
      <c r="X306" s="5"/>
      <c r="Y306" s="5"/>
      <c r="Z306" s="6"/>
      <c r="AA306" s="1"/>
      <c r="AB306" s="1"/>
      <c r="AC306" s="1"/>
    </row>
    <row r="307" ht="51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4"/>
      <c r="X307" s="5"/>
      <c r="Y307" s="5"/>
      <c r="Z307" s="6"/>
      <c r="AA307" s="1"/>
      <c r="AB307" s="1"/>
      <c r="AC307" s="1"/>
    </row>
    <row r="308" ht="51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4"/>
      <c r="X308" s="5"/>
      <c r="Y308" s="5"/>
      <c r="Z308" s="6"/>
      <c r="AA308" s="1"/>
      <c r="AB308" s="1"/>
      <c r="AC308" s="1"/>
    </row>
    <row r="309" ht="51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4"/>
      <c r="X309" s="5"/>
      <c r="Y309" s="5"/>
      <c r="Z309" s="6"/>
      <c r="AA309" s="1"/>
      <c r="AB309" s="1"/>
      <c r="AC309" s="1"/>
    </row>
    <row r="310" ht="51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4"/>
      <c r="X310" s="5"/>
      <c r="Y310" s="5"/>
      <c r="Z310" s="6"/>
      <c r="AA310" s="1"/>
      <c r="AB310" s="1"/>
      <c r="AC310" s="1"/>
    </row>
    <row r="311" ht="51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4"/>
      <c r="X311" s="5"/>
      <c r="Y311" s="5"/>
      <c r="Z311" s="6"/>
      <c r="AA311" s="1"/>
      <c r="AB311" s="1"/>
      <c r="AC311" s="1"/>
    </row>
    <row r="312" ht="51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4"/>
      <c r="X312" s="5"/>
      <c r="Y312" s="5"/>
      <c r="Z312" s="6"/>
      <c r="AA312" s="1"/>
      <c r="AB312" s="1"/>
      <c r="AC312" s="1"/>
    </row>
    <row r="313" ht="51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4"/>
      <c r="X313" s="5"/>
      <c r="Y313" s="5"/>
      <c r="Z313" s="6"/>
      <c r="AA313" s="1"/>
      <c r="AB313" s="1"/>
      <c r="AC313" s="1"/>
    </row>
    <row r="314" ht="51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4"/>
      <c r="X314" s="5"/>
      <c r="Y314" s="5"/>
      <c r="Z314" s="6"/>
      <c r="AA314" s="1"/>
      <c r="AB314" s="1"/>
      <c r="AC314" s="1"/>
    </row>
    <row r="315" ht="51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4"/>
      <c r="X315" s="5"/>
      <c r="Y315" s="5"/>
      <c r="Z315" s="6"/>
      <c r="AA315" s="1"/>
      <c r="AB315" s="1"/>
      <c r="AC315" s="1"/>
    </row>
    <row r="316" ht="51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4"/>
      <c r="X316" s="5"/>
      <c r="Y316" s="5"/>
      <c r="Z316" s="6"/>
      <c r="AA316" s="1"/>
      <c r="AB316" s="1"/>
      <c r="AC316" s="1"/>
    </row>
    <row r="317" ht="51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4"/>
      <c r="X317" s="5"/>
      <c r="Y317" s="5"/>
      <c r="Z317" s="6"/>
      <c r="AA317" s="1"/>
      <c r="AB317" s="1"/>
      <c r="AC317" s="1"/>
    </row>
    <row r="318" ht="51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4"/>
      <c r="X318" s="5"/>
      <c r="Y318" s="5"/>
      <c r="Z318" s="6"/>
      <c r="AA318" s="1"/>
      <c r="AB318" s="1"/>
      <c r="AC318" s="1"/>
    </row>
    <row r="319" ht="51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4"/>
      <c r="X319" s="5"/>
      <c r="Y319" s="5"/>
      <c r="Z319" s="6"/>
      <c r="AA319" s="1"/>
      <c r="AB319" s="1"/>
      <c r="AC319" s="1"/>
    </row>
    <row r="320" ht="51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4"/>
      <c r="X320" s="5"/>
      <c r="Y320" s="5"/>
      <c r="Z320" s="6"/>
      <c r="AA320" s="1"/>
      <c r="AB320" s="1"/>
      <c r="AC320" s="1"/>
    </row>
    <row r="321" ht="51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4"/>
      <c r="X321" s="5"/>
      <c r="Y321" s="5"/>
      <c r="Z321" s="6"/>
      <c r="AA321" s="1"/>
      <c r="AB321" s="1"/>
      <c r="AC321" s="1"/>
    </row>
    <row r="322" ht="51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4"/>
      <c r="X322" s="5"/>
      <c r="Y322" s="5"/>
      <c r="Z322" s="6"/>
      <c r="AA322" s="1"/>
      <c r="AB322" s="1"/>
      <c r="AC322" s="1"/>
    </row>
    <row r="323" ht="51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4"/>
      <c r="X323" s="5"/>
      <c r="Y323" s="5"/>
      <c r="Z323" s="6"/>
      <c r="AA323" s="1"/>
      <c r="AB323" s="1"/>
      <c r="AC323" s="1"/>
    </row>
    <row r="324" ht="51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4"/>
      <c r="X324" s="5"/>
      <c r="Y324" s="5"/>
      <c r="Z324" s="6"/>
      <c r="AA324" s="1"/>
      <c r="AB324" s="1"/>
      <c r="AC324" s="1"/>
    </row>
    <row r="325" ht="51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4"/>
      <c r="X325" s="5"/>
      <c r="Y325" s="5"/>
      <c r="Z325" s="6"/>
      <c r="AA325" s="1"/>
      <c r="AB325" s="1"/>
      <c r="AC325" s="1"/>
    </row>
    <row r="326" ht="51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4"/>
      <c r="X326" s="5"/>
      <c r="Y326" s="5"/>
      <c r="Z326" s="6"/>
      <c r="AA326" s="1"/>
      <c r="AB326" s="1"/>
      <c r="AC326" s="1"/>
    </row>
    <row r="327" ht="51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4"/>
      <c r="X327" s="5"/>
      <c r="Y327" s="5"/>
      <c r="Z327" s="6"/>
      <c r="AA327" s="1"/>
      <c r="AB327" s="1"/>
      <c r="AC327" s="1"/>
    </row>
    <row r="328" ht="51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4"/>
      <c r="X328" s="5"/>
      <c r="Y328" s="5"/>
      <c r="Z328" s="6"/>
      <c r="AA328" s="1"/>
      <c r="AB328" s="1"/>
      <c r="AC328" s="1"/>
    </row>
    <row r="329" ht="51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4"/>
      <c r="X329" s="5"/>
      <c r="Y329" s="5"/>
      <c r="Z329" s="6"/>
      <c r="AA329" s="1"/>
      <c r="AB329" s="1"/>
      <c r="AC329" s="1"/>
    </row>
    <row r="330" ht="51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4"/>
      <c r="X330" s="5"/>
      <c r="Y330" s="5"/>
      <c r="Z330" s="6"/>
      <c r="AA330" s="1"/>
      <c r="AB330" s="1"/>
      <c r="AC330" s="1"/>
    </row>
    <row r="331" ht="51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4"/>
      <c r="X331" s="5"/>
      <c r="Y331" s="5"/>
      <c r="Z331" s="6"/>
      <c r="AA331" s="1"/>
      <c r="AB331" s="1"/>
      <c r="AC331" s="1"/>
    </row>
    <row r="332" ht="51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4"/>
      <c r="X332" s="5"/>
      <c r="Y332" s="5"/>
      <c r="Z332" s="6"/>
      <c r="AA332" s="1"/>
      <c r="AB332" s="1"/>
      <c r="AC332" s="1"/>
    </row>
    <row r="333" ht="51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4"/>
      <c r="X333" s="5"/>
      <c r="Y333" s="5"/>
      <c r="Z333" s="6"/>
      <c r="AA333" s="1"/>
      <c r="AB333" s="1"/>
      <c r="AC333" s="1"/>
    </row>
    <row r="334" ht="51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4"/>
      <c r="X334" s="5"/>
      <c r="Y334" s="5"/>
      <c r="Z334" s="6"/>
      <c r="AA334" s="1"/>
      <c r="AB334" s="1"/>
      <c r="AC334" s="1"/>
    </row>
    <row r="335" ht="51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4"/>
      <c r="X335" s="5"/>
      <c r="Y335" s="5"/>
      <c r="Z335" s="6"/>
      <c r="AA335" s="1"/>
      <c r="AB335" s="1"/>
      <c r="AC335" s="1"/>
    </row>
    <row r="336" ht="51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4"/>
      <c r="X336" s="5"/>
      <c r="Y336" s="5"/>
      <c r="Z336" s="6"/>
      <c r="AA336" s="1"/>
      <c r="AB336" s="1"/>
      <c r="AC336" s="1"/>
    </row>
    <row r="337" ht="51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4"/>
      <c r="X337" s="5"/>
      <c r="Y337" s="5"/>
      <c r="Z337" s="6"/>
      <c r="AA337" s="1"/>
      <c r="AB337" s="1"/>
      <c r="AC337" s="1"/>
    </row>
    <row r="338" ht="51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4"/>
      <c r="X338" s="5"/>
      <c r="Y338" s="5"/>
      <c r="Z338" s="6"/>
      <c r="AA338" s="1"/>
      <c r="AB338" s="1"/>
      <c r="AC338" s="1"/>
    </row>
    <row r="339" ht="51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4"/>
      <c r="X339" s="5"/>
      <c r="Y339" s="5"/>
      <c r="Z339" s="6"/>
      <c r="AA339" s="1"/>
      <c r="AB339" s="1"/>
      <c r="AC339" s="1"/>
    </row>
    <row r="340" ht="51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4"/>
      <c r="X340" s="5"/>
      <c r="Y340" s="5"/>
      <c r="Z340" s="6"/>
      <c r="AA340" s="1"/>
      <c r="AB340" s="1"/>
      <c r="AC340" s="1"/>
    </row>
    <row r="341" ht="51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4"/>
      <c r="X341" s="5"/>
      <c r="Y341" s="5"/>
      <c r="Z341" s="6"/>
      <c r="AA341" s="1"/>
      <c r="AB341" s="1"/>
      <c r="AC341" s="1"/>
    </row>
    <row r="342" ht="51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4"/>
      <c r="X342" s="5"/>
      <c r="Y342" s="5"/>
      <c r="Z342" s="6"/>
      <c r="AA342" s="1"/>
      <c r="AB342" s="1"/>
      <c r="AC342" s="1"/>
    </row>
    <row r="343" ht="51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4"/>
      <c r="X343" s="5"/>
      <c r="Y343" s="5"/>
      <c r="Z343" s="6"/>
      <c r="AA343" s="1"/>
      <c r="AB343" s="1"/>
      <c r="AC343" s="1"/>
    </row>
    <row r="344" ht="51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4"/>
      <c r="X344" s="5"/>
      <c r="Y344" s="5"/>
      <c r="Z344" s="6"/>
      <c r="AA344" s="1"/>
      <c r="AB344" s="1"/>
      <c r="AC344" s="1"/>
    </row>
    <row r="345" ht="51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4"/>
      <c r="X345" s="5"/>
      <c r="Y345" s="5"/>
      <c r="Z345" s="6"/>
      <c r="AA345" s="1"/>
      <c r="AB345" s="1"/>
      <c r="AC345" s="1"/>
    </row>
    <row r="346" ht="51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4"/>
      <c r="X346" s="5"/>
      <c r="Y346" s="5"/>
      <c r="Z346" s="6"/>
      <c r="AA346" s="1"/>
      <c r="AB346" s="1"/>
      <c r="AC346" s="1"/>
    </row>
    <row r="347" ht="51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4"/>
      <c r="X347" s="5"/>
      <c r="Y347" s="5"/>
      <c r="Z347" s="6"/>
      <c r="AA347" s="1"/>
      <c r="AB347" s="1"/>
      <c r="AC347" s="1"/>
    </row>
    <row r="348" ht="51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4"/>
      <c r="X348" s="5"/>
      <c r="Y348" s="5"/>
      <c r="Z348" s="6"/>
      <c r="AA348" s="1"/>
      <c r="AB348" s="1"/>
      <c r="AC348" s="1"/>
    </row>
    <row r="349" ht="51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4"/>
      <c r="X349" s="5"/>
      <c r="Y349" s="5"/>
      <c r="Z349" s="6"/>
      <c r="AA349" s="1"/>
      <c r="AB349" s="1"/>
      <c r="AC349" s="1"/>
    </row>
    <row r="350" ht="51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4"/>
      <c r="X350" s="5"/>
      <c r="Y350" s="5"/>
      <c r="Z350" s="6"/>
      <c r="AA350" s="1"/>
      <c r="AB350" s="1"/>
      <c r="AC350" s="1"/>
    </row>
    <row r="351" ht="51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4"/>
      <c r="X351" s="5"/>
      <c r="Y351" s="5"/>
      <c r="Z351" s="6"/>
      <c r="AA351" s="1"/>
      <c r="AB351" s="1"/>
      <c r="AC351" s="1"/>
    </row>
    <row r="352" ht="51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4"/>
      <c r="X352" s="5"/>
      <c r="Y352" s="5"/>
      <c r="Z352" s="6"/>
      <c r="AA352" s="1"/>
      <c r="AB352" s="1"/>
      <c r="AC352" s="1"/>
    </row>
    <row r="353" ht="51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4"/>
      <c r="X353" s="5"/>
      <c r="Y353" s="5"/>
      <c r="Z353" s="6"/>
      <c r="AA353" s="1"/>
      <c r="AB353" s="1"/>
      <c r="AC353" s="1"/>
    </row>
    <row r="354" ht="51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4"/>
      <c r="X354" s="5"/>
      <c r="Y354" s="5"/>
      <c r="Z354" s="6"/>
      <c r="AA354" s="1"/>
      <c r="AB354" s="1"/>
      <c r="AC354" s="1"/>
    </row>
    <row r="355" ht="51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4"/>
      <c r="X355" s="5"/>
      <c r="Y355" s="5"/>
      <c r="Z355" s="6"/>
      <c r="AA355" s="1"/>
      <c r="AB355" s="1"/>
      <c r="AC355" s="1"/>
    </row>
    <row r="356" ht="51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4"/>
      <c r="X356" s="5"/>
      <c r="Y356" s="5"/>
      <c r="Z356" s="6"/>
      <c r="AA356" s="1"/>
      <c r="AB356" s="1"/>
      <c r="AC356" s="1"/>
    </row>
    <row r="357" ht="51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4"/>
      <c r="X357" s="5"/>
      <c r="Y357" s="5"/>
      <c r="Z357" s="6"/>
      <c r="AA357" s="1"/>
      <c r="AB357" s="1"/>
      <c r="AC357" s="1"/>
    </row>
    <row r="358" ht="51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4"/>
      <c r="X358" s="5"/>
      <c r="Y358" s="5"/>
      <c r="Z358" s="6"/>
      <c r="AA358" s="1"/>
      <c r="AB358" s="1"/>
      <c r="AC358" s="1"/>
    </row>
    <row r="359" ht="51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4"/>
      <c r="X359" s="5"/>
      <c r="Y359" s="5"/>
      <c r="Z359" s="6"/>
      <c r="AA359" s="1"/>
      <c r="AB359" s="1"/>
      <c r="AC359" s="1"/>
    </row>
    <row r="360" ht="51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4"/>
      <c r="X360" s="5"/>
      <c r="Y360" s="5"/>
      <c r="Z360" s="6"/>
      <c r="AA360" s="1"/>
      <c r="AB360" s="1"/>
      <c r="AC360" s="1"/>
    </row>
    <row r="361" ht="51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4"/>
      <c r="X361" s="5"/>
      <c r="Y361" s="5"/>
      <c r="Z361" s="6"/>
      <c r="AA361" s="1"/>
      <c r="AB361" s="1"/>
      <c r="AC361" s="1"/>
    </row>
    <row r="362" ht="51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4"/>
      <c r="X362" s="5"/>
      <c r="Y362" s="5"/>
      <c r="Z362" s="6"/>
      <c r="AA362" s="1"/>
      <c r="AB362" s="1"/>
      <c r="AC362" s="1"/>
    </row>
    <row r="363" ht="51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4"/>
      <c r="X363" s="5"/>
      <c r="Y363" s="5"/>
      <c r="Z363" s="6"/>
      <c r="AA363" s="1"/>
      <c r="AB363" s="1"/>
      <c r="AC363" s="1"/>
    </row>
    <row r="364" ht="51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4"/>
      <c r="X364" s="5"/>
      <c r="Y364" s="5"/>
      <c r="Z364" s="6"/>
      <c r="AA364" s="1"/>
      <c r="AB364" s="1"/>
      <c r="AC364" s="1"/>
    </row>
    <row r="365" ht="51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4"/>
      <c r="X365" s="5"/>
      <c r="Y365" s="5"/>
      <c r="Z365" s="6"/>
      <c r="AA365" s="1"/>
      <c r="AB365" s="1"/>
      <c r="AC365" s="1"/>
    </row>
    <row r="366" ht="51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4"/>
      <c r="X366" s="5"/>
      <c r="Y366" s="5"/>
      <c r="Z366" s="6"/>
      <c r="AA366" s="1"/>
      <c r="AB366" s="1"/>
      <c r="AC366" s="1"/>
    </row>
    <row r="367" ht="51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4"/>
      <c r="X367" s="5"/>
      <c r="Y367" s="5"/>
      <c r="Z367" s="6"/>
      <c r="AA367" s="1"/>
      <c r="AB367" s="1"/>
      <c r="AC367" s="1"/>
    </row>
    <row r="368" ht="51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4"/>
      <c r="X368" s="5"/>
      <c r="Y368" s="5"/>
      <c r="Z368" s="6"/>
      <c r="AA368" s="1"/>
      <c r="AB368" s="1"/>
      <c r="AC368" s="1"/>
    </row>
    <row r="369" ht="51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4"/>
      <c r="X369" s="5"/>
      <c r="Y369" s="5"/>
      <c r="Z369" s="6"/>
      <c r="AA369" s="1"/>
      <c r="AB369" s="1"/>
      <c r="AC369" s="1"/>
    </row>
    <row r="370" ht="51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4"/>
      <c r="X370" s="5"/>
      <c r="Y370" s="5"/>
      <c r="Z370" s="6"/>
      <c r="AA370" s="1"/>
      <c r="AB370" s="1"/>
      <c r="AC370" s="1"/>
    </row>
    <row r="371" ht="51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4"/>
      <c r="X371" s="5"/>
      <c r="Y371" s="5"/>
      <c r="Z371" s="6"/>
      <c r="AA371" s="1"/>
      <c r="AB371" s="1"/>
      <c r="AC371" s="1"/>
    </row>
    <row r="372" ht="51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4"/>
      <c r="X372" s="5"/>
      <c r="Y372" s="5"/>
      <c r="Z372" s="6"/>
      <c r="AA372" s="1"/>
      <c r="AB372" s="1"/>
      <c r="AC372" s="1"/>
    </row>
    <row r="373" ht="51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4"/>
      <c r="X373" s="5"/>
      <c r="Y373" s="5"/>
      <c r="Z373" s="6"/>
      <c r="AA373" s="1"/>
      <c r="AB373" s="1"/>
      <c r="AC373" s="1"/>
    </row>
    <row r="374" ht="51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4"/>
      <c r="X374" s="5"/>
      <c r="Y374" s="5"/>
      <c r="Z374" s="6"/>
      <c r="AA374" s="1"/>
      <c r="AB374" s="1"/>
      <c r="AC374" s="1"/>
    </row>
    <row r="375" ht="51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4"/>
      <c r="X375" s="5"/>
      <c r="Y375" s="5"/>
      <c r="Z375" s="6"/>
      <c r="AA375" s="1"/>
      <c r="AB375" s="1"/>
      <c r="AC375" s="1"/>
    </row>
    <row r="376" ht="51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4"/>
      <c r="X376" s="5"/>
      <c r="Y376" s="5"/>
      <c r="Z376" s="6"/>
      <c r="AA376" s="1"/>
      <c r="AB376" s="1"/>
      <c r="AC376" s="1"/>
    </row>
    <row r="377" ht="51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4"/>
      <c r="X377" s="5"/>
      <c r="Y377" s="5"/>
      <c r="Z377" s="6"/>
      <c r="AA377" s="1"/>
      <c r="AB377" s="1"/>
      <c r="AC377" s="1"/>
    </row>
    <row r="378" ht="51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4"/>
      <c r="X378" s="5"/>
      <c r="Y378" s="5"/>
      <c r="Z378" s="6"/>
      <c r="AA378" s="1"/>
      <c r="AB378" s="1"/>
      <c r="AC378" s="1"/>
    </row>
    <row r="379" ht="51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4"/>
      <c r="X379" s="5"/>
      <c r="Y379" s="5"/>
      <c r="Z379" s="6"/>
      <c r="AA379" s="1"/>
      <c r="AB379" s="1"/>
      <c r="AC379" s="1"/>
    </row>
    <row r="380" ht="51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4"/>
      <c r="X380" s="5"/>
      <c r="Y380" s="5"/>
      <c r="Z380" s="6"/>
      <c r="AA380" s="1"/>
      <c r="AB380" s="1"/>
      <c r="AC380" s="1"/>
    </row>
    <row r="381" ht="51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4"/>
      <c r="X381" s="5"/>
      <c r="Y381" s="5"/>
      <c r="Z381" s="6"/>
      <c r="AA381" s="1"/>
      <c r="AB381" s="1"/>
      <c r="AC381" s="1"/>
    </row>
    <row r="382" ht="51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4"/>
      <c r="X382" s="5"/>
      <c r="Y382" s="5"/>
      <c r="Z382" s="6"/>
      <c r="AA382" s="1"/>
      <c r="AB382" s="1"/>
      <c r="AC382" s="1"/>
    </row>
    <row r="383" ht="51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4"/>
      <c r="X383" s="5"/>
      <c r="Y383" s="5"/>
      <c r="Z383" s="6"/>
      <c r="AA383" s="1"/>
      <c r="AB383" s="1"/>
      <c r="AC383" s="1"/>
    </row>
    <row r="384" ht="51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4"/>
      <c r="X384" s="5"/>
      <c r="Y384" s="5"/>
      <c r="Z384" s="6"/>
      <c r="AA384" s="1"/>
      <c r="AB384" s="1"/>
      <c r="AC384" s="1"/>
    </row>
    <row r="385" ht="51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4"/>
      <c r="X385" s="5"/>
      <c r="Y385" s="5"/>
      <c r="Z385" s="6"/>
      <c r="AA385" s="1"/>
      <c r="AB385" s="1"/>
      <c r="AC385" s="1"/>
    </row>
    <row r="386" ht="51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4"/>
      <c r="X386" s="5"/>
      <c r="Y386" s="5"/>
      <c r="Z386" s="6"/>
      <c r="AA386" s="1"/>
      <c r="AB386" s="1"/>
      <c r="AC386" s="1"/>
    </row>
    <row r="387" ht="51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4"/>
      <c r="X387" s="5"/>
      <c r="Y387" s="5"/>
      <c r="Z387" s="6"/>
      <c r="AA387" s="1"/>
      <c r="AB387" s="1"/>
      <c r="AC387" s="1"/>
    </row>
    <row r="388" ht="51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4"/>
      <c r="X388" s="5"/>
      <c r="Y388" s="5"/>
      <c r="Z388" s="6"/>
      <c r="AA388" s="1"/>
      <c r="AB388" s="1"/>
      <c r="AC388" s="1"/>
    </row>
    <row r="389" ht="51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4"/>
      <c r="X389" s="5"/>
      <c r="Y389" s="5"/>
      <c r="Z389" s="6"/>
      <c r="AA389" s="1"/>
      <c r="AB389" s="1"/>
      <c r="AC389" s="1"/>
    </row>
    <row r="390" ht="51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4"/>
      <c r="X390" s="5"/>
      <c r="Y390" s="5"/>
      <c r="Z390" s="6"/>
      <c r="AA390" s="1"/>
      <c r="AB390" s="1"/>
      <c r="AC390" s="1"/>
    </row>
    <row r="391" ht="51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4"/>
      <c r="X391" s="5"/>
      <c r="Y391" s="5"/>
      <c r="Z391" s="6"/>
      <c r="AA391" s="1"/>
      <c r="AB391" s="1"/>
      <c r="AC391" s="1"/>
    </row>
    <row r="392" ht="51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4"/>
      <c r="X392" s="5"/>
      <c r="Y392" s="5"/>
      <c r="Z392" s="6"/>
      <c r="AA392" s="1"/>
      <c r="AB392" s="1"/>
      <c r="AC392" s="1"/>
    </row>
    <row r="393" ht="51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4"/>
      <c r="X393" s="5"/>
      <c r="Y393" s="5"/>
      <c r="Z393" s="6"/>
      <c r="AA393" s="1"/>
      <c r="AB393" s="1"/>
      <c r="AC393" s="1"/>
    </row>
    <row r="394" ht="51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4"/>
      <c r="X394" s="5"/>
      <c r="Y394" s="5"/>
      <c r="Z394" s="6"/>
      <c r="AA394" s="1"/>
      <c r="AB394" s="1"/>
      <c r="AC394" s="1"/>
    </row>
    <row r="395" ht="51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4"/>
      <c r="X395" s="5"/>
      <c r="Y395" s="5"/>
      <c r="Z395" s="6"/>
      <c r="AA395" s="1"/>
      <c r="AB395" s="1"/>
      <c r="AC395" s="1"/>
    </row>
    <row r="396" ht="51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4"/>
      <c r="X396" s="5"/>
      <c r="Y396" s="5"/>
      <c r="Z396" s="6"/>
      <c r="AA396" s="1"/>
      <c r="AB396" s="1"/>
      <c r="AC396" s="1"/>
    </row>
    <row r="397" ht="51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4"/>
      <c r="X397" s="5"/>
      <c r="Y397" s="5"/>
      <c r="Z397" s="6"/>
      <c r="AA397" s="1"/>
      <c r="AB397" s="1"/>
      <c r="AC397" s="1"/>
    </row>
    <row r="398" ht="51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4"/>
      <c r="X398" s="5"/>
      <c r="Y398" s="5"/>
      <c r="Z398" s="6"/>
      <c r="AA398" s="1"/>
      <c r="AB398" s="1"/>
      <c r="AC398" s="1"/>
    </row>
    <row r="399" ht="51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4"/>
      <c r="X399" s="5"/>
      <c r="Y399" s="5"/>
      <c r="Z399" s="6"/>
      <c r="AA399" s="1"/>
      <c r="AB399" s="1"/>
      <c r="AC399" s="1"/>
    </row>
    <row r="400" ht="51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4"/>
      <c r="X400" s="5"/>
      <c r="Y400" s="5"/>
      <c r="Z400" s="6"/>
      <c r="AA400" s="1"/>
      <c r="AB400" s="1"/>
      <c r="AC400" s="1"/>
    </row>
    <row r="401" ht="51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4"/>
      <c r="X401" s="5"/>
      <c r="Y401" s="5"/>
      <c r="Z401" s="6"/>
      <c r="AA401" s="1"/>
      <c r="AB401" s="1"/>
      <c r="AC401" s="1"/>
    </row>
    <row r="402" ht="51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4"/>
      <c r="X402" s="5"/>
      <c r="Y402" s="5"/>
      <c r="Z402" s="6"/>
      <c r="AA402" s="1"/>
      <c r="AB402" s="1"/>
      <c r="AC402" s="1"/>
    </row>
    <row r="403" ht="51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4"/>
      <c r="X403" s="5"/>
      <c r="Y403" s="5"/>
      <c r="Z403" s="6"/>
      <c r="AA403" s="1"/>
      <c r="AB403" s="1"/>
      <c r="AC403" s="1"/>
    </row>
    <row r="404" ht="51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4"/>
      <c r="X404" s="5"/>
      <c r="Y404" s="5"/>
      <c r="Z404" s="6"/>
      <c r="AA404" s="1"/>
      <c r="AB404" s="1"/>
      <c r="AC404" s="1"/>
    </row>
    <row r="405" ht="51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4"/>
      <c r="X405" s="5"/>
      <c r="Y405" s="5"/>
      <c r="Z405" s="6"/>
      <c r="AA405" s="1"/>
      <c r="AB405" s="1"/>
      <c r="AC405" s="1"/>
    </row>
    <row r="406" ht="51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4"/>
      <c r="X406" s="5"/>
      <c r="Y406" s="5"/>
      <c r="Z406" s="6"/>
      <c r="AA406" s="1"/>
      <c r="AB406" s="1"/>
      <c r="AC406" s="1"/>
    </row>
    <row r="407" ht="51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4"/>
      <c r="X407" s="5"/>
      <c r="Y407" s="5"/>
      <c r="Z407" s="6"/>
      <c r="AA407" s="1"/>
      <c r="AB407" s="1"/>
      <c r="AC407" s="1"/>
    </row>
    <row r="408" ht="51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4"/>
      <c r="X408" s="5"/>
      <c r="Y408" s="5"/>
      <c r="Z408" s="6"/>
      <c r="AA408" s="1"/>
      <c r="AB408" s="1"/>
      <c r="AC408" s="1"/>
    </row>
    <row r="409" ht="51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4"/>
      <c r="X409" s="5"/>
      <c r="Y409" s="5"/>
      <c r="Z409" s="6"/>
      <c r="AA409" s="1"/>
      <c r="AB409" s="1"/>
      <c r="AC409" s="1"/>
    </row>
    <row r="410" ht="51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4"/>
      <c r="X410" s="5"/>
      <c r="Y410" s="5"/>
      <c r="Z410" s="6"/>
      <c r="AA410" s="1"/>
      <c r="AB410" s="1"/>
      <c r="AC410" s="1"/>
    </row>
    <row r="411" ht="51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4"/>
      <c r="X411" s="5"/>
      <c r="Y411" s="5"/>
      <c r="Z411" s="6"/>
      <c r="AA411" s="1"/>
      <c r="AB411" s="1"/>
      <c r="AC411" s="1"/>
    </row>
    <row r="412" ht="51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4"/>
      <c r="X412" s="5"/>
      <c r="Y412" s="5"/>
      <c r="Z412" s="6"/>
      <c r="AA412" s="1"/>
      <c r="AB412" s="1"/>
      <c r="AC412" s="1"/>
    </row>
    <row r="413" ht="51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4"/>
      <c r="X413" s="5"/>
      <c r="Y413" s="5"/>
      <c r="Z413" s="6"/>
      <c r="AA413" s="1"/>
      <c r="AB413" s="1"/>
      <c r="AC413" s="1"/>
    </row>
    <row r="414" ht="51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4"/>
      <c r="X414" s="5"/>
      <c r="Y414" s="5"/>
      <c r="Z414" s="6"/>
      <c r="AA414" s="1"/>
      <c r="AB414" s="1"/>
      <c r="AC414" s="1"/>
    </row>
    <row r="415" ht="51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4"/>
      <c r="X415" s="5"/>
      <c r="Y415" s="5"/>
      <c r="Z415" s="6"/>
      <c r="AA415" s="1"/>
      <c r="AB415" s="1"/>
      <c r="AC415" s="1"/>
    </row>
    <row r="416" ht="51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4"/>
      <c r="X416" s="5"/>
      <c r="Y416" s="5"/>
      <c r="Z416" s="6"/>
      <c r="AA416" s="1"/>
      <c r="AB416" s="1"/>
      <c r="AC416" s="1"/>
    </row>
    <row r="417" ht="51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4"/>
      <c r="X417" s="5"/>
      <c r="Y417" s="5"/>
      <c r="Z417" s="6"/>
      <c r="AA417" s="1"/>
      <c r="AB417" s="1"/>
      <c r="AC417" s="1"/>
    </row>
    <row r="418" ht="51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4"/>
      <c r="X418" s="5"/>
      <c r="Y418" s="5"/>
      <c r="Z418" s="6"/>
      <c r="AA418" s="1"/>
      <c r="AB418" s="1"/>
      <c r="AC418" s="1"/>
    </row>
    <row r="419" ht="51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4"/>
      <c r="X419" s="5"/>
      <c r="Y419" s="5"/>
      <c r="Z419" s="6"/>
      <c r="AA419" s="1"/>
      <c r="AB419" s="1"/>
      <c r="AC419" s="1"/>
    </row>
    <row r="420" ht="51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4"/>
      <c r="X420" s="5"/>
      <c r="Y420" s="5"/>
      <c r="Z420" s="6"/>
      <c r="AA420" s="1"/>
      <c r="AB420" s="1"/>
      <c r="AC420" s="1"/>
    </row>
    <row r="421" ht="51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4"/>
      <c r="X421" s="5"/>
      <c r="Y421" s="5"/>
      <c r="Z421" s="6"/>
      <c r="AA421" s="1"/>
      <c r="AB421" s="1"/>
      <c r="AC421" s="1"/>
    </row>
    <row r="422" ht="51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4"/>
      <c r="X422" s="5"/>
      <c r="Y422" s="5"/>
      <c r="Z422" s="6"/>
      <c r="AA422" s="1"/>
      <c r="AB422" s="1"/>
      <c r="AC422" s="1"/>
    </row>
    <row r="423" ht="51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4"/>
      <c r="X423" s="5"/>
      <c r="Y423" s="5"/>
      <c r="Z423" s="6"/>
      <c r="AA423" s="1"/>
      <c r="AB423" s="1"/>
      <c r="AC423" s="1"/>
    </row>
    <row r="424" ht="51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4"/>
      <c r="X424" s="5"/>
      <c r="Y424" s="5"/>
      <c r="Z424" s="6"/>
      <c r="AA424" s="1"/>
      <c r="AB424" s="1"/>
      <c r="AC424" s="1"/>
    </row>
    <row r="425" ht="51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4"/>
      <c r="X425" s="5"/>
      <c r="Y425" s="5"/>
      <c r="Z425" s="6"/>
      <c r="AA425" s="1"/>
      <c r="AB425" s="1"/>
      <c r="AC425" s="1"/>
    </row>
    <row r="426" ht="51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4"/>
      <c r="X426" s="5"/>
      <c r="Y426" s="5"/>
      <c r="Z426" s="6"/>
      <c r="AA426" s="1"/>
      <c r="AB426" s="1"/>
      <c r="AC426" s="1"/>
    </row>
    <row r="427" ht="51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4"/>
      <c r="X427" s="5"/>
      <c r="Y427" s="5"/>
      <c r="Z427" s="6"/>
      <c r="AA427" s="1"/>
      <c r="AB427" s="1"/>
      <c r="AC427" s="1"/>
    </row>
    <row r="428" ht="51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4"/>
      <c r="X428" s="5"/>
      <c r="Y428" s="5"/>
      <c r="Z428" s="6"/>
      <c r="AA428" s="1"/>
      <c r="AB428" s="1"/>
      <c r="AC428" s="1"/>
    </row>
    <row r="429" ht="51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4"/>
      <c r="X429" s="5"/>
      <c r="Y429" s="5"/>
      <c r="Z429" s="6"/>
      <c r="AA429" s="1"/>
      <c r="AB429" s="1"/>
      <c r="AC429" s="1"/>
    </row>
    <row r="430" ht="51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4"/>
      <c r="X430" s="5"/>
      <c r="Y430" s="5"/>
      <c r="Z430" s="6"/>
      <c r="AA430" s="1"/>
      <c r="AB430" s="1"/>
      <c r="AC430" s="1"/>
    </row>
    <row r="431" ht="51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4"/>
      <c r="X431" s="5"/>
      <c r="Y431" s="5"/>
      <c r="Z431" s="6"/>
      <c r="AA431" s="1"/>
      <c r="AB431" s="1"/>
      <c r="AC431" s="1"/>
    </row>
    <row r="432" ht="51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4"/>
      <c r="X432" s="5"/>
      <c r="Y432" s="5"/>
      <c r="Z432" s="6"/>
      <c r="AA432" s="1"/>
      <c r="AB432" s="1"/>
      <c r="AC432" s="1"/>
    </row>
    <row r="433" ht="51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4"/>
      <c r="X433" s="5"/>
      <c r="Y433" s="5"/>
      <c r="Z433" s="6"/>
      <c r="AA433" s="1"/>
      <c r="AB433" s="1"/>
      <c r="AC433" s="1"/>
    </row>
    <row r="434" ht="51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4"/>
      <c r="X434" s="5"/>
      <c r="Y434" s="5"/>
      <c r="Z434" s="6"/>
      <c r="AA434" s="1"/>
      <c r="AB434" s="1"/>
      <c r="AC434" s="1"/>
    </row>
    <row r="435" ht="51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4"/>
      <c r="X435" s="5"/>
      <c r="Y435" s="5"/>
      <c r="Z435" s="6"/>
      <c r="AA435" s="1"/>
      <c r="AB435" s="1"/>
      <c r="AC435" s="1"/>
    </row>
    <row r="436" ht="51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4"/>
      <c r="X436" s="5"/>
      <c r="Y436" s="5"/>
      <c r="Z436" s="6"/>
      <c r="AA436" s="1"/>
      <c r="AB436" s="1"/>
      <c r="AC436" s="1"/>
    </row>
    <row r="437" ht="51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4"/>
      <c r="X437" s="5"/>
      <c r="Y437" s="5"/>
      <c r="Z437" s="6"/>
      <c r="AA437" s="1"/>
      <c r="AB437" s="1"/>
      <c r="AC437" s="1"/>
    </row>
    <row r="438" ht="51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4"/>
      <c r="X438" s="5"/>
      <c r="Y438" s="5"/>
      <c r="Z438" s="6"/>
      <c r="AA438" s="1"/>
      <c r="AB438" s="1"/>
      <c r="AC438" s="1"/>
    </row>
    <row r="439" ht="51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4"/>
      <c r="X439" s="5"/>
      <c r="Y439" s="5"/>
      <c r="Z439" s="6"/>
      <c r="AA439" s="1"/>
      <c r="AB439" s="1"/>
      <c r="AC439" s="1"/>
    </row>
    <row r="440" ht="51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4"/>
      <c r="X440" s="5"/>
      <c r="Y440" s="5"/>
      <c r="Z440" s="6"/>
      <c r="AA440" s="1"/>
      <c r="AB440" s="1"/>
      <c r="AC440" s="1"/>
    </row>
    <row r="441" ht="51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4"/>
      <c r="X441" s="5"/>
      <c r="Y441" s="5"/>
      <c r="Z441" s="6"/>
      <c r="AA441" s="1"/>
      <c r="AB441" s="1"/>
      <c r="AC441" s="1"/>
    </row>
    <row r="442" ht="51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4"/>
      <c r="X442" s="5"/>
      <c r="Y442" s="5"/>
      <c r="Z442" s="6"/>
      <c r="AA442" s="1"/>
      <c r="AB442" s="1"/>
      <c r="AC442" s="1"/>
    </row>
    <row r="443" ht="51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4"/>
      <c r="X443" s="5"/>
      <c r="Y443" s="5"/>
      <c r="Z443" s="6"/>
      <c r="AA443" s="1"/>
      <c r="AB443" s="1"/>
      <c r="AC443" s="1"/>
    </row>
    <row r="444" ht="51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4"/>
      <c r="X444" s="5"/>
      <c r="Y444" s="5"/>
      <c r="Z444" s="6"/>
      <c r="AA444" s="1"/>
      <c r="AB444" s="1"/>
      <c r="AC444" s="1"/>
    </row>
    <row r="445" ht="51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4"/>
      <c r="X445" s="5"/>
      <c r="Y445" s="5"/>
      <c r="Z445" s="6"/>
      <c r="AA445" s="1"/>
      <c r="AB445" s="1"/>
      <c r="AC445" s="1"/>
    </row>
    <row r="446" ht="51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4"/>
      <c r="X446" s="5"/>
      <c r="Y446" s="5"/>
      <c r="Z446" s="6"/>
      <c r="AA446" s="1"/>
      <c r="AB446" s="1"/>
      <c r="AC446" s="1"/>
    </row>
    <row r="447" ht="51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4"/>
      <c r="X447" s="5"/>
      <c r="Y447" s="5"/>
      <c r="Z447" s="6"/>
      <c r="AA447" s="1"/>
      <c r="AB447" s="1"/>
      <c r="AC447" s="1"/>
    </row>
    <row r="448" ht="51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4"/>
      <c r="X448" s="5"/>
      <c r="Y448" s="5"/>
      <c r="Z448" s="6"/>
      <c r="AA448" s="1"/>
      <c r="AB448" s="1"/>
      <c r="AC448" s="1"/>
    </row>
    <row r="449" ht="51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4"/>
      <c r="X449" s="5"/>
      <c r="Y449" s="5"/>
      <c r="Z449" s="6"/>
      <c r="AA449" s="1"/>
      <c r="AB449" s="1"/>
      <c r="AC449" s="1"/>
    </row>
    <row r="450" ht="51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4"/>
      <c r="X450" s="5"/>
      <c r="Y450" s="5"/>
      <c r="Z450" s="6"/>
      <c r="AA450" s="1"/>
      <c r="AB450" s="1"/>
      <c r="AC450" s="1"/>
    </row>
    <row r="451" ht="51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4"/>
      <c r="X451" s="5"/>
      <c r="Y451" s="5"/>
      <c r="Z451" s="6"/>
      <c r="AA451" s="1"/>
      <c r="AB451" s="1"/>
      <c r="AC451" s="1"/>
    </row>
    <row r="452" ht="51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4"/>
      <c r="X452" s="5"/>
      <c r="Y452" s="5"/>
      <c r="Z452" s="6"/>
      <c r="AA452" s="1"/>
      <c r="AB452" s="1"/>
      <c r="AC452" s="1"/>
    </row>
    <row r="453" ht="51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4"/>
      <c r="X453" s="5"/>
      <c r="Y453" s="5"/>
      <c r="Z453" s="6"/>
      <c r="AA453" s="1"/>
      <c r="AB453" s="1"/>
      <c r="AC453" s="1"/>
    </row>
    <row r="454" ht="51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4"/>
      <c r="X454" s="5"/>
      <c r="Y454" s="5"/>
      <c r="Z454" s="6"/>
      <c r="AA454" s="1"/>
      <c r="AB454" s="1"/>
      <c r="AC454" s="1"/>
    </row>
    <row r="455" ht="51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4"/>
      <c r="X455" s="5"/>
      <c r="Y455" s="5"/>
      <c r="Z455" s="6"/>
      <c r="AA455" s="1"/>
      <c r="AB455" s="1"/>
      <c r="AC455" s="1"/>
    </row>
    <row r="456" ht="51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4"/>
      <c r="X456" s="5"/>
      <c r="Y456" s="5"/>
      <c r="Z456" s="6"/>
      <c r="AA456" s="1"/>
      <c r="AB456" s="1"/>
      <c r="AC456" s="1"/>
    </row>
    <row r="457" ht="51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4"/>
      <c r="X457" s="5"/>
      <c r="Y457" s="5"/>
      <c r="Z457" s="6"/>
      <c r="AA457" s="1"/>
      <c r="AB457" s="1"/>
      <c r="AC457" s="1"/>
    </row>
    <row r="458" ht="51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4"/>
      <c r="X458" s="5"/>
      <c r="Y458" s="5"/>
      <c r="Z458" s="6"/>
      <c r="AA458" s="1"/>
      <c r="AB458" s="1"/>
      <c r="AC458" s="1"/>
    </row>
    <row r="459" ht="51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4"/>
      <c r="X459" s="5"/>
      <c r="Y459" s="5"/>
      <c r="Z459" s="6"/>
      <c r="AA459" s="1"/>
      <c r="AB459" s="1"/>
      <c r="AC459" s="1"/>
    </row>
    <row r="460" ht="51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4"/>
      <c r="X460" s="5"/>
      <c r="Y460" s="5"/>
      <c r="Z460" s="6"/>
      <c r="AA460" s="1"/>
      <c r="AB460" s="1"/>
      <c r="AC460" s="1"/>
    </row>
    <row r="461" ht="51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4"/>
      <c r="X461" s="5"/>
      <c r="Y461" s="5"/>
      <c r="Z461" s="6"/>
      <c r="AA461" s="1"/>
      <c r="AB461" s="1"/>
      <c r="AC461" s="1"/>
    </row>
    <row r="462" ht="51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4"/>
      <c r="X462" s="5"/>
      <c r="Y462" s="5"/>
      <c r="Z462" s="6"/>
      <c r="AA462" s="1"/>
      <c r="AB462" s="1"/>
      <c r="AC462" s="1"/>
    </row>
    <row r="463" ht="51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4"/>
      <c r="X463" s="5"/>
      <c r="Y463" s="5"/>
      <c r="Z463" s="6"/>
      <c r="AA463" s="1"/>
      <c r="AB463" s="1"/>
      <c r="AC463" s="1"/>
    </row>
    <row r="464" ht="51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4"/>
      <c r="X464" s="5"/>
      <c r="Y464" s="5"/>
      <c r="Z464" s="6"/>
      <c r="AA464" s="1"/>
      <c r="AB464" s="1"/>
      <c r="AC464" s="1"/>
    </row>
    <row r="465" ht="51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4"/>
      <c r="X465" s="5"/>
      <c r="Y465" s="5"/>
      <c r="Z465" s="6"/>
      <c r="AA465" s="1"/>
      <c r="AB465" s="1"/>
      <c r="AC465" s="1"/>
    </row>
    <row r="466" ht="51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4"/>
      <c r="X466" s="5"/>
      <c r="Y466" s="5"/>
      <c r="Z466" s="6"/>
      <c r="AA466" s="1"/>
      <c r="AB466" s="1"/>
      <c r="AC466" s="1"/>
    </row>
    <row r="467" ht="51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4"/>
      <c r="X467" s="5"/>
      <c r="Y467" s="5"/>
      <c r="Z467" s="6"/>
      <c r="AA467" s="1"/>
      <c r="AB467" s="1"/>
      <c r="AC467" s="1"/>
    </row>
    <row r="468" ht="51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4"/>
      <c r="X468" s="5"/>
      <c r="Y468" s="5"/>
      <c r="Z468" s="6"/>
      <c r="AA468" s="1"/>
      <c r="AB468" s="1"/>
      <c r="AC468" s="1"/>
    </row>
    <row r="469" ht="51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4"/>
      <c r="X469" s="5"/>
      <c r="Y469" s="5"/>
      <c r="Z469" s="6"/>
      <c r="AA469" s="1"/>
      <c r="AB469" s="1"/>
      <c r="AC469" s="1"/>
    </row>
    <row r="470" ht="51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4"/>
      <c r="X470" s="5"/>
      <c r="Y470" s="5"/>
      <c r="Z470" s="6"/>
      <c r="AA470" s="1"/>
      <c r="AB470" s="1"/>
      <c r="AC470" s="1"/>
    </row>
    <row r="471" ht="51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4"/>
      <c r="X471" s="5"/>
      <c r="Y471" s="5"/>
      <c r="Z471" s="6"/>
      <c r="AA471" s="1"/>
      <c r="AB471" s="1"/>
      <c r="AC471" s="1"/>
    </row>
    <row r="472" ht="51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4"/>
      <c r="X472" s="5"/>
      <c r="Y472" s="5"/>
      <c r="Z472" s="6"/>
      <c r="AA472" s="1"/>
      <c r="AB472" s="1"/>
      <c r="AC472" s="1"/>
    </row>
    <row r="473" ht="51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4"/>
      <c r="X473" s="5"/>
      <c r="Y473" s="5"/>
      <c r="Z473" s="6"/>
      <c r="AA473" s="1"/>
      <c r="AB473" s="1"/>
      <c r="AC473" s="1"/>
    </row>
    <row r="474" ht="51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4"/>
      <c r="X474" s="5"/>
      <c r="Y474" s="5"/>
      <c r="Z474" s="6"/>
      <c r="AA474" s="1"/>
      <c r="AB474" s="1"/>
      <c r="AC474" s="1"/>
    </row>
    <row r="475" ht="51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4"/>
      <c r="X475" s="5"/>
      <c r="Y475" s="5"/>
      <c r="Z475" s="6"/>
      <c r="AA475" s="1"/>
      <c r="AB475" s="1"/>
      <c r="AC475" s="1"/>
    </row>
    <row r="476" ht="51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4"/>
      <c r="X476" s="5"/>
      <c r="Y476" s="5"/>
      <c r="Z476" s="6"/>
      <c r="AA476" s="1"/>
      <c r="AB476" s="1"/>
      <c r="AC476" s="1"/>
    </row>
    <row r="477" ht="51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4"/>
      <c r="X477" s="5"/>
      <c r="Y477" s="5"/>
      <c r="Z477" s="6"/>
      <c r="AA477" s="1"/>
      <c r="AB477" s="1"/>
      <c r="AC477" s="1"/>
    </row>
    <row r="478" ht="51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4"/>
      <c r="X478" s="5"/>
      <c r="Y478" s="5"/>
      <c r="Z478" s="6"/>
      <c r="AA478" s="1"/>
      <c r="AB478" s="1"/>
      <c r="AC478" s="1"/>
    </row>
    <row r="479" ht="51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4"/>
      <c r="X479" s="5"/>
      <c r="Y479" s="5"/>
      <c r="Z479" s="6"/>
      <c r="AA479" s="1"/>
      <c r="AB479" s="1"/>
      <c r="AC479" s="1"/>
    </row>
    <row r="480" ht="51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4"/>
      <c r="X480" s="5"/>
      <c r="Y480" s="5"/>
      <c r="Z480" s="6"/>
      <c r="AA480" s="1"/>
      <c r="AB480" s="1"/>
      <c r="AC480" s="1"/>
    </row>
    <row r="481" ht="51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4"/>
      <c r="X481" s="5"/>
      <c r="Y481" s="5"/>
      <c r="Z481" s="6"/>
      <c r="AA481" s="1"/>
      <c r="AB481" s="1"/>
      <c r="AC481" s="1"/>
    </row>
    <row r="482" ht="51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4"/>
      <c r="X482" s="5"/>
      <c r="Y482" s="5"/>
      <c r="Z482" s="6"/>
      <c r="AA482" s="1"/>
      <c r="AB482" s="1"/>
      <c r="AC482" s="1"/>
    </row>
    <row r="483" ht="51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4"/>
      <c r="X483" s="5"/>
      <c r="Y483" s="5"/>
      <c r="Z483" s="6"/>
      <c r="AA483" s="1"/>
      <c r="AB483" s="1"/>
      <c r="AC483" s="1"/>
    </row>
    <row r="484" ht="51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4"/>
      <c r="X484" s="5"/>
      <c r="Y484" s="5"/>
      <c r="Z484" s="6"/>
      <c r="AA484" s="1"/>
      <c r="AB484" s="1"/>
      <c r="AC484" s="1"/>
    </row>
    <row r="485" ht="51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4"/>
      <c r="X485" s="5"/>
      <c r="Y485" s="5"/>
      <c r="Z485" s="6"/>
      <c r="AA485" s="1"/>
      <c r="AB485" s="1"/>
      <c r="AC485" s="1"/>
    </row>
    <row r="486" ht="51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4"/>
      <c r="X486" s="5"/>
      <c r="Y486" s="5"/>
      <c r="Z486" s="6"/>
      <c r="AA486" s="1"/>
      <c r="AB486" s="1"/>
      <c r="AC486" s="1"/>
    </row>
    <row r="487" ht="51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4"/>
      <c r="X487" s="5"/>
      <c r="Y487" s="5"/>
      <c r="Z487" s="6"/>
      <c r="AA487" s="1"/>
      <c r="AB487" s="1"/>
      <c r="AC487" s="1"/>
    </row>
    <row r="488" ht="51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4"/>
      <c r="X488" s="5"/>
      <c r="Y488" s="5"/>
      <c r="Z488" s="6"/>
      <c r="AA488" s="1"/>
      <c r="AB488" s="1"/>
      <c r="AC488" s="1"/>
    </row>
    <row r="489" ht="51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4"/>
      <c r="X489" s="5"/>
      <c r="Y489" s="5"/>
      <c r="Z489" s="6"/>
      <c r="AA489" s="1"/>
      <c r="AB489" s="1"/>
      <c r="AC489" s="1"/>
    </row>
    <row r="490" ht="51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4"/>
      <c r="X490" s="5"/>
      <c r="Y490" s="5"/>
      <c r="Z490" s="6"/>
      <c r="AA490" s="1"/>
      <c r="AB490" s="1"/>
      <c r="AC490" s="1"/>
    </row>
    <row r="491" ht="51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4"/>
      <c r="X491" s="5"/>
      <c r="Y491" s="5"/>
      <c r="Z491" s="6"/>
      <c r="AA491" s="1"/>
      <c r="AB491" s="1"/>
      <c r="AC491" s="1"/>
    </row>
    <row r="492" ht="51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4"/>
      <c r="X492" s="5"/>
      <c r="Y492" s="5"/>
      <c r="Z492" s="6"/>
      <c r="AA492" s="1"/>
      <c r="AB492" s="1"/>
      <c r="AC492" s="1"/>
    </row>
    <row r="493" ht="51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4"/>
      <c r="X493" s="5"/>
      <c r="Y493" s="5"/>
      <c r="Z493" s="6"/>
      <c r="AA493" s="1"/>
      <c r="AB493" s="1"/>
      <c r="AC493" s="1"/>
    </row>
    <row r="494" ht="51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4"/>
      <c r="X494" s="5"/>
      <c r="Y494" s="5"/>
      <c r="Z494" s="6"/>
      <c r="AA494" s="1"/>
      <c r="AB494" s="1"/>
      <c r="AC494" s="1"/>
    </row>
    <row r="495" ht="51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4"/>
      <c r="X495" s="5"/>
      <c r="Y495" s="5"/>
      <c r="Z495" s="6"/>
      <c r="AA495" s="1"/>
      <c r="AB495" s="1"/>
      <c r="AC495" s="1"/>
    </row>
    <row r="496" ht="51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4"/>
      <c r="X496" s="5"/>
      <c r="Y496" s="5"/>
      <c r="Z496" s="6"/>
      <c r="AA496" s="1"/>
      <c r="AB496" s="1"/>
      <c r="AC496" s="1"/>
    </row>
    <row r="497" ht="51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4"/>
      <c r="X497" s="5"/>
      <c r="Y497" s="5"/>
      <c r="Z497" s="6"/>
      <c r="AA497" s="1"/>
      <c r="AB497" s="1"/>
      <c r="AC497" s="1"/>
    </row>
    <row r="498" ht="51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4"/>
      <c r="X498" s="5"/>
      <c r="Y498" s="5"/>
      <c r="Z498" s="6"/>
      <c r="AA498" s="1"/>
      <c r="AB498" s="1"/>
      <c r="AC498" s="1"/>
    </row>
    <row r="499" ht="51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4"/>
      <c r="X499" s="5"/>
      <c r="Y499" s="5"/>
      <c r="Z499" s="6"/>
      <c r="AA499" s="1"/>
      <c r="AB499" s="1"/>
      <c r="AC499" s="1"/>
    </row>
    <row r="500" ht="51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4"/>
      <c r="X500" s="5"/>
      <c r="Y500" s="5"/>
      <c r="Z500" s="6"/>
      <c r="AA500" s="1"/>
      <c r="AB500" s="1"/>
      <c r="AC500" s="1"/>
    </row>
    <row r="501" ht="51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4"/>
      <c r="X501" s="5"/>
      <c r="Y501" s="5"/>
      <c r="Z501" s="6"/>
      <c r="AA501" s="1"/>
      <c r="AB501" s="1"/>
      <c r="AC501" s="1"/>
    </row>
    <row r="502" ht="51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4"/>
      <c r="X502" s="5"/>
      <c r="Y502" s="5"/>
      <c r="Z502" s="6"/>
      <c r="AA502" s="1"/>
      <c r="AB502" s="1"/>
      <c r="AC502" s="1"/>
    </row>
    <row r="503" ht="51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4"/>
      <c r="X503" s="5"/>
      <c r="Y503" s="5"/>
      <c r="Z503" s="6"/>
      <c r="AA503" s="1"/>
      <c r="AB503" s="1"/>
      <c r="AC503" s="1"/>
    </row>
    <row r="504" ht="51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4"/>
      <c r="X504" s="5"/>
      <c r="Y504" s="5"/>
      <c r="Z504" s="6"/>
      <c r="AA504" s="1"/>
      <c r="AB504" s="1"/>
      <c r="AC504" s="1"/>
    </row>
    <row r="505" ht="51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4"/>
      <c r="X505" s="5"/>
      <c r="Y505" s="5"/>
      <c r="Z505" s="6"/>
      <c r="AA505" s="1"/>
      <c r="AB505" s="1"/>
      <c r="AC505" s="1"/>
    </row>
    <row r="506" ht="51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4"/>
      <c r="X506" s="5"/>
      <c r="Y506" s="5"/>
      <c r="Z506" s="6"/>
      <c r="AA506" s="1"/>
      <c r="AB506" s="1"/>
      <c r="AC506" s="1"/>
    </row>
    <row r="507" ht="51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4"/>
      <c r="X507" s="5"/>
      <c r="Y507" s="5"/>
      <c r="Z507" s="6"/>
      <c r="AA507" s="1"/>
      <c r="AB507" s="1"/>
      <c r="AC507" s="1"/>
    </row>
    <row r="508" ht="51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4"/>
      <c r="X508" s="5"/>
      <c r="Y508" s="5"/>
      <c r="Z508" s="6"/>
      <c r="AA508" s="1"/>
      <c r="AB508" s="1"/>
      <c r="AC508" s="1"/>
    </row>
    <row r="509" ht="51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4"/>
      <c r="X509" s="5"/>
      <c r="Y509" s="5"/>
      <c r="Z509" s="6"/>
      <c r="AA509" s="1"/>
      <c r="AB509" s="1"/>
      <c r="AC509" s="1"/>
    </row>
    <row r="510" ht="51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4"/>
      <c r="X510" s="5"/>
      <c r="Y510" s="5"/>
      <c r="Z510" s="6"/>
      <c r="AA510" s="1"/>
      <c r="AB510" s="1"/>
      <c r="AC510" s="1"/>
    </row>
    <row r="511" ht="51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4"/>
      <c r="X511" s="5"/>
      <c r="Y511" s="5"/>
      <c r="Z511" s="6"/>
      <c r="AA511" s="1"/>
      <c r="AB511" s="1"/>
      <c r="AC511" s="1"/>
    </row>
    <row r="512" ht="51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4"/>
      <c r="X512" s="5"/>
      <c r="Y512" s="5"/>
      <c r="Z512" s="6"/>
      <c r="AA512" s="1"/>
      <c r="AB512" s="1"/>
      <c r="AC512" s="1"/>
    </row>
    <row r="513" ht="51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4"/>
      <c r="X513" s="5"/>
      <c r="Y513" s="5"/>
      <c r="Z513" s="6"/>
      <c r="AA513" s="1"/>
      <c r="AB513" s="1"/>
      <c r="AC513" s="1"/>
    </row>
    <row r="514" ht="51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4"/>
      <c r="X514" s="5"/>
      <c r="Y514" s="5"/>
      <c r="Z514" s="6"/>
      <c r="AA514" s="1"/>
      <c r="AB514" s="1"/>
      <c r="AC514" s="1"/>
    </row>
    <row r="515" ht="51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4"/>
      <c r="X515" s="5"/>
      <c r="Y515" s="5"/>
      <c r="Z515" s="6"/>
      <c r="AA515" s="1"/>
      <c r="AB515" s="1"/>
      <c r="AC515" s="1"/>
    </row>
    <row r="516" ht="51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4"/>
      <c r="X516" s="5"/>
      <c r="Y516" s="5"/>
      <c r="Z516" s="6"/>
      <c r="AA516" s="1"/>
      <c r="AB516" s="1"/>
      <c r="AC516" s="1"/>
    </row>
    <row r="517" ht="51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4"/>
      <c r="X517" s="5"/>
      <c r="Y517" s="5"/>
      <c r="Z517" s="6"/>
      <c r="AA517" s="1"/>
      <c r="AB517" s="1"/>
      <c r="AC517" s="1"/>
    </row>
    <row r="518" ht="51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4"/>
      <c r="X518" s="5"/>
      <c r="Y518" s="5"/>
      <c r="Z518" s="6"/>
      <c r="AA518" s="1"/>
      <c r="AB518" s="1"/>
      <c r="AC518" s="1"/>
    </row>
    <row r="519" ht="51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4"/>
      <c r="X519" s="5"/>
      <c r="Y519" s="5"/>
      <c r="Z519" s="6"/>
      <c r="AA519" s="1"/>
      <c r="AB519" s="1"/>
      <c r="AC519" s="1"/>
    </row>
    <row r="520" ht="51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4"/>
      <c r="X520" s="5"/>
      <c r="Y520" s="5"/>
      <c r="Z520" s="6"/>
      <c r="AA520" s="1"/>
      <c r="AB520" s="1"/>
      <c r="AC520" s="1"/>
    </row>
    <row r="521" ht="51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4"/>
      <c r="X521" s="5"/>
      <c r="Y521" s="5"/>
      <c r="Z521" s="6"/>
      <c r="AA521" s="1"/>
      <c r="AB521" s="1"/>
      <c r="AC521" s="1"/>
    </row>
    <row r="522" ht="51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4"/>
      <c r="X522" s="5"/>
      <c r="Y522" s="5"/>
      <c r="Z522" s="6"/>
      <c r="AA522" s="1"/>
      <c r="AB522" s="1"/>
      <c r="AC522" s="1"/>
    </row>
    <row r="523" ht="51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4"/>
      <c r="X523" s="5"/>
      <c r="Y523" s="5"/>
      <c r="Z523" s="6"/>
      <c r="AA523" s="1"/>
      <c r="AB523" s="1"/>
      <c r="AC523" s="1"/>
    </row>
    <row r="524" ht="51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4"/>
      <c r="X524" s="5"/>
      <c r="Y524" s="5"/>
      <c r="Z524" s="6"/>
      <c r="AA524" s="1"/>
      <c r="AB524" s="1"/>
      <c r="AC524" s="1"/>
    </row>
    <row r="525" ht="51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4"/>
      <c r="X525" s="5"/>
      <c r="Y525" s="5"/>
      <c r="Z525" s="6"/>
      <c r="AA525" s="1"/>
      <c r="AB525" s="1"/>
      <c r="AC525" s="1"/>
    </row>
    <row r="526" ht="51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4"/>
      <c r="X526" s="5"/>
      <c r="Y526" s="5"/>
      <c r="Z526" s="6"/>
      <c r="AA526" s="1"/>
      <c r="AB526" s="1"/>
      <c r="AC526" s="1"/>
    </row>
    <row r="527" ht="51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4"/>
      <c r="X527" s="5"/>
      <c r="Y527" s="5"/>
      <c r="Z527" s="6"/>
      <c r="AA527" s="1"/>
      <c r="AB527" s="1"/>
      <c r="AC527" s="1"/>
    </row>
    <row r="528" ht="51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4"/>
      <c r="X528" s="5"/>
      <c r="Y528" s="5"/>
      <c r="Z528" s="6"/>
      <c r="AA528" s="1"/>
      <c r="AB528" s="1"/>
      <c r="AC528" s="1"/>
    </row>
    <row r="529" ht="51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4"/>
      <c r="X529" s="5"/>
      <c r="Y529" s="5"/>
      <c r="Z529" s="6"/>
      <c r="AA529" s="1"/>
      <c r="AB529" s="1"/>
      <c r="AC529" s="1"/>
    </row>
    <row r="530" ht="51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4"/>
      <c r="X530" s="5"/>
      <c r="Y530" s="5"/>
      <c r="Z530" s="6"/>
      <c r="AA530" s="1"/>
      <c r="AB530" s="1"/>
      <c r="AC530" s="1"/>
    </row>
    <row r="531" ht="51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4"/>
      <c r="X531" s="5"/>
      <c r="Y531" s="5"/>
      <c r="Z531" s="6"/>
      <c r="AA531" s="1"/>
      <c r="AB531" s="1"/>
      <c r="AC531" s="1"/>
    </row>
    <row r="532" ht="51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4"/>
      <c r="X532" s="5"/>
      <c r="Y532" s="5"/>
      <c r="Z532" s="6"/>
      <c r="AA532" s="1"/>
      <c r="AB532" s="1"/>
      <c r="AC532" s="1"/>
    </row>
    <row r="533" ht="51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4"/>
      <c r="X533" s="5"/>
      <c r="Y533" s="5"/>
      <c r="Z533" s="6"/>
      <c r="AA533" s="1"/>
      <c r="AB533" s="1"/>
      <c r="AC533" s="1"/>
    </row>
    <row r="534" ht="51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4"/>
      <c r="X534" s="5"/>
      <c r="Y534" s="5"/>
      <c r="Z534" s="6"/>
      <c r="AA534" s="1"/>
      <c r="AB534" s="1"/>
      <c r="AC534" s="1"/>
    </row>
    <row r="535" ht="51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4"/>
      <c r="X535" s="5"/>
      <c r="Y535" s="5"/>
      <c r="Z535" s="6"/>
      <c r="AA535" s="1"/>
      <c r="AB535" s="1"/>
      <c r="AC535" s="1"/>
    </row>
    <row r="536" ht="51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4"/>
      <c r="X536" s="5"/>
      <c r="Y536" s="5"/>
      <c r="Z536" s="6"/>
      <c r="AA536" s="1"/>
      <c r="AB536" s="1"/>
      <c r="AC536" s="1"/>
    </row>
    <row r="537" ht="51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4"/>
      <c r="X537" s="5"/>
      <c r="Y537" s="5"/>
      <c r="Z537" s="6"/>
      <c r="AA537" s="1"/>
      <c r="AB537" s="1"/>
      <c r="AC537" s="1"/>
    </row>
    <row r="538" ht="51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4"/>
      <c r="X538" s="5"/>
      <c r="Y538" s="5"/>
      <c r="Z538" s="6"/>
      <c r="AA538" s="1"/>
      <c r="AB538" s="1"/>
      <c r="AC538" s="1"/>
    </row>
    <row r="539" ht="51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4"/>
      <c r="X539" s="5"/>
      <c r="Y539" s="5"/>
      <c r="Z539" s="6"/>
      <c r="AA539" s="1"/>
      <c r="AB539" s="1"/>
      <c r="AC539" s="1"/>
    </row>
    <row r="540" ht="51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4"/>
      <c r="X540" s="5"/>
      <c r="Y540" s="5"/>
      <c r="Z540" s="6"/>
      <c r="AA540" s="1"/>
      <c r="AB540" s="1"/>
      <c r="AC540" s="1"/>
    </row>
    <row r="541" ht="51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4"/>
      <c r="X541" s="5"/>
      <c r="Y541" s="5"/>
      <c r="Z541" s="6"/>
      <c r="AA541" s="1"/>
      <c r="AB541" s="1"/>
      <c r="AC541" s="1"/>
    </row>
    <row r="542" ht="51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4"/>
      <c r="X542" s="5"/>
      <c r="Y542" s="5"/>
      <c r="Z542" s="6"/>
      <c r="AA542" s="1"/>
      <c r="AB542" s="1"/>
      <c r="AC542" s="1"/>
    </row>
    <row r="543" ht="51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4"/>
      <c r="X543" s="5"/>
      <c r="Y543" s="5"/>
      <c r="Z543" s="6"/>
      <c r="AA543" s="1"/>
      <c r="AB543" s="1"/>
      <c r="AC543" s="1"/>
    </row>
    <row r="544" ht="51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4"/>
      <c r="X544" s="5"/>
      <c r="Y544" s="5"/>
      <c r="Z544" s="6"/>
      <c r="AA544" s="1"/>
      <c r="AB544" s="1"/>
      <c r="AC544" s="1"/>
    </row>
    <row r="545" ht="51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4"/>
      <c r="X545" s="5"/>
      <c r="Y545" s="5"/>
      <c r="Z545" s="6"/>
      <c r="AA545" s="1"/>
      <c r="AB545" s="1"/>
      <c r="AC545" s="1"/>
    </row>
    <row r="546" ht="51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4"/>
      <c r="X546" s="5"/>
      <c r="Y546" s="5"/>
      <c r="Z546" s="6"/>
      <c r="AA546" s="1"/>
      <c r="AB546" s="1"/>
      <c r="AC546" s="1"/>
    </row>
    <row r="547" ht="51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4"/>
      <c r="X547" s="5"/>
      <c r="Y547" s="5"/>
      <c r="Z547" s="6"/>
      <c r="AA547" s="1"/>
      <c r="AB547" s="1"/>
      <c r="AC547" s="1"/>
    </row>
    <row r="548" ht="51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4"/>
      <c r="X548" s="5"/>
      <c r="Y548" s="5"/>
      <c r="Z548" s="6"/>
      <c r="AA548" s="1"/>
      <c r="AB548" s="1"/>
      <c r="AC548" s="1"/>
    </row>
    <row r="549" ht="51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4"/>
      <c r="X549" s="5"/>
      <c r="Y549" s="5"/>
      <c r="Z549" s="6"/>
      <c r="AA549" s="1"/>
      <c r="AB549" s="1"/>
      <c r="AC549" s="1"/>
    </row>
    <row r="550" ht="51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4"/>
      <c r="X550" s="5"/>
      <c r="Y550" s="5"/>
      <c r="Z550" s="6"/>
      <c r="AA550" s="1"/>
      <c r="AB550" s="1"/>
      <c r="AC550" s="1"/>
    </row>
    <row r="551" ht="51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4"/>
      <c r="X551" s="5"/>
      <c r="Y551" s="5"/>
      <c r="Z551" s="6"/>
      <c r="AA551" s="1"/>
      <c r="AB551" s="1"/>
      <c r="AC551" s="1"/>
    </row>
    <row r="552" ht="51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4"/>
      <c r="X552" s="5"/>
      <c r="Y552" s="5"/>
      <c r="Z552" s="6"/>
      <c r="AA552" s="1"/>
      <c r="AB552" s="1"/>
      <c r="AC552" s="1"/>
    </row>
    <row r="553" ht="51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4"/>
      <c r="X553" s="5"/>
      <c r="Y553" s="5"/>
      <c r="Z553" s="6"/>
      <c r="AA553" s="1"/>
      <c r="AB553" s="1"/>
      <c r="AC553" s="1"/>
    </row>
    <row r="554" ht="51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4"/>
      <c r="X554" s="5"/>
      <c r="Y554" s="5"/>
      <c r="Z554" s="6"/>
      <c r="AA554" s="1"/>
      <c r="AB554" s="1"/>
      <c r="AC554" s="1"/>
    </row>
    <row r="555" ht="51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4"/>
      <c r="X555" s="5"/>
      <c r="Y555" s="5"/>
      <c r="Z555" s="6"/>
      <c r="AA555" s="1"/>
      <c r="AB555" s="1"/>
      <c r="AC555" s="1"/>
    </row>
    <row r="556" ht="51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4"/>
      <c r="X556" s="5"/>
      <c r="Y556" s="5"/>
      <c r="Z556" s="6"/>
      <c r="AA556" s="1"/>
      <c r="AB556" s="1"/>
      <c r="AC556" s="1"/>
    </row>
    <row r="557" ht="51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4"/>
      <c r="X557" s="5"/>
      <c r="Y557" s="5"/>
      <c r="Z557" s="6"/>
      <c r="AA557" s="1"/>
      <c r="AB557" s="1"/>
      <c r="AC557" s="1"/>
    </row>
    <row r="558" ht="51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4"/>
      <c r="X558" s="5"/>
      <c r="Y558" s="5"/>
      <c r="Z558" s="6"/>
      <c r="AA558" s="1"/>
      <c r="AB558" s="1"/>
      <c r="AC558" s="1"/>
    </row>
    <row r="559" ht="51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4"/>
      <c r="X559" s="5"/>
      <c r="Y559" s="5"/>
      <c r="Z559" s="6"/>
      <c r="AA559" s="1"/>
      <c r="AB559" s="1"/>
      <c r="AC559" s="1"/>
    </row>
    <row r="560" ht="51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4"/>
      <c r="X560" s="5"/>
      <c r="Y560" s="5"/>
      <c r="Z560" s="6"/>
      <c r="AA560" s="1"/>
      <c r="AB560" s="1"/>
      <c r="AC560" s="1"/>
    </row>
    <row r="561" ht="51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4"/>
      <c r="X561" s="5"/>
      <c r="Y561" s="5"/>
      <c r="Z561" s="6"/>
      <c r="AA561" s="1"/>
      <c r="AB561" s="1"/>
      <c r="AC561" s="1"/>
    </row>
    <row r="562" ht="51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4"/>
      <c r="X562" s="5"/>
      <c r="Y562" s="5"/>
      <c r="Z562" s="6"/>
      <c r="AA562" s="1"/>
      <c r="AB562" s="1"/>
      <c r="AC562" s="1"/>
    </row>
    <row r="563" ht="51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4"/>
      <c r="X563" s="5"/>
      <c r="Y563" s="5"/>
      <c r="Z563" s="6"/>
      <c r="AA563" s="1"/>
      <c r="AB563" s="1"/>
      <c r="AC563" s="1"/>
    </row>
    <row r="564" ht="51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4"/>
      <c r="X564" s="5"/>
      <c r="Y564" s="5"/>
      <c r="Z564" s="6"/>
      <c r="AA564" s="1"/>
      <c r="AB564" s="1"/>
      <c r="AC564" s="1"/>
    </row>
    <row r="565" ht="51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4"/>
      <c r="X565" s="5"/>
      <c r="Y565" s="5"/>
      <c r="Z565" s="6"/>
      <c r="AA565" s="1"/>
      <c r="AB565" s="1"/>
      <c r="AC565" s="1"/>
    </row>
    <row r="566" ht="51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4"/>
      <c r="X566" s="5"/>
      <c r="Y566" s="5"/>
      <c r="Z566" s="6"/>
      <c r="AA566" s="1"/>
      <c r="AB566" s="1"/>
      <c r="AC566" s="1"/>
    </row>
    <row r="567" ht="51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4"/>
      <c r="X567" s="5"/>
      <c r="Y567" s="5"/>
      <c r="Z567" s="6"/>
      <c r="AA567" s="1"/>
      <c r="AB567" s="1"/>
      <c r="AC567" s="1"/>
    </row>
    <row r="568" ht="51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4"/>
      <c r="X568" s="5"/>
      <c r="Y568" s="5"/>
      <c r="Z568" s="6"/>
      <c r="AA568" s="1"/>
      <c r="AB568" s="1"/>
      <c r="AC568" s="1"/>
    </row>
    <row r="569" ht="51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4"/>
      <c r="X569" s="5"/>
      <c r="Y569" s="5"/>
      <c r="Z569" s="6"/>
      <c r="AA569" s="1"/>
      <c r="AB569" s="1"/>
      <c r="AC569" s="1"/>
    </row>
    <row r="570" ht="51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4"/>
      <c r="X570" s="5"/>
      <c r="Y570" s="5"/>
      <c r="Z570" s="6"/>
      <c r="AA570" s="1"/>
      <c r="AB570" s="1"/>
      <c r="AC570" s="1"/>
    </row>
    <row r="571" ht="51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4"/>
      <c r="X571" s="5"/>
      <c r="Y571" s="5"/>
      <c r="Z571" s="6"/>
      <c r="AA571" s="1"/>
      <c r="AB571" s="1"/>
      <c r="AC571" s="1"/>
    </row>
    <row r="572" ht="51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4"/>
      <c r="X572" s="5"/>
      <c r="Y572" s="5"/>
      <c r="Z572" s="6"/>
      <c r="AA572" s="1"/>
      <c r="AB572" s="1"/>
      <c r="AC572" s="1"/>
    </row>
    <row r="573" ht="51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4"/>
      <c r="X573" s="5"/>
      <c r="Y573" s="5"/>
      <c r="Z573" s="6"/>
      <c r="AA573" s="1"/>
      <c r="AB573" s="1"/>
      <c r="AC573" s="1"/>
    </row>
    <row r="574" ht="51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4"/>
      <c r="X574" s="5"/>
      <c r="Y574" s="5"/>
      <c r="Z574" s="6"/>
      <c r="AA574" s="1"/>
      <c r="AB574" s="1"/>
      <c r="AC574" s="1"/>
    </row>
    <row r="575" ht="51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4"/>
      <c r="X575" s="5"/>
      <c r="Y575" s="5"/>
      <c r="Z575" s="6"/>
      <c r="AA575" s="1"/>
      <c r="AB575" s="1"/>
      <c r="AC575" s="1"/>
    </row>
    <row r="576" ht="51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4"/>
      <c r="X576" s="5"/>
      <c r="Y576" s="5"/>
      <c r="Z576" s="6"/>
      <c r="AA576" s="1"/>
      <c r="AB576" s="1"/>
      <c r="AC576" s="1"/>
    </row>
    <row r="577" ht="51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4"/>
      <c r="X577" s="5"/>
      <c r="Y577" s="5"/>
      <c r="Z577" s="6"/>
      <c r="AA577" s="1"/>
      <c r="AB577" s="1"/>
      <c r="AC577" s="1"/>
    </row>
    <row r="578" ht="51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4"/>
      <c r="X578" s="5"/>
      <c r="Y578" s="5"/>
      <c r="Z578" s="6"/>
      <c r="AA578" s="1"/>
      <c r="AB578" s="1"/>
      <c r="AC578" s="1"/>
    </row>
    <row r="579" ht="51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4"/>
      <c r="X579" s="5"/>
      <c r="Y579" s="5"/>
      <c r="Z579" s="6"/>
      <c r="AA579" s="1"/>
      <c r="AB579" s="1"/>
      <c r="AC579" s="1"/>
    </row>
    <row r="580" ht="51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4"/>
      <c r="X580" s="5"/>
      <c r="Y580" s="5"/>
      <c r="Z580" s="6"/>
      <c r="AA580" s="1"/>
      <c r="AB580" s="1"/>
      <c r="AC580" s="1"/>
    </row>
    <row r="581" ht="51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4"/>
      <c r="X581" s="5"/>
      <c r="Y581" s="5"/>
      <c r="Z581" s="6"/>
      <c r="AA581" s="1"/>
      <c r="AB581" s="1"/>
      <c r="AC581" s="1"/>
    </row>
    <row r="582" ht="51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4"/>
      <c r="X582" s="5"/>
      <c r="Y582" s="5"/>
      <c r="Z582" s="6"/>
      <c r="AA582" s="1"/>
      <c r="AB582" s="1"/>
      <c r="AC582" s="1"/>
    </row>
    <row r="583" ht="51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4"/>
      <c r="X583" s="5"/>
      <c r="Y583" s="5"/>
      <c r="Z583" s="6"/>
      <c r="AA583" s="1"/>
      <c r="AB583" s="1"/>
      <c r="AC583" s="1"/>
    </row>
    <row r="584" ht="51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4"/>
      <c r="X584" s="5"/>
      <c r="Y584" s="5"/>
      <c r="Z584" s="6"/>
      <c r="AA584" s="1"/>
      <c r="AB584" s="1"/>
      <c r="AC584" s="1"/>
    </row>
    <row r="585" ht="51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4"/>
      <c r="X585" s="5"/>
      <c r="Y585" s="5"/>
      <c r="Z585" s="6"/>
      <c r="AA585" s="1"/>
      <c r="AB585" s="1"/>
      <c r="AC585" s="1"/>
    </row>
    <row r="586" ht="51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4"/>
      <c r="X586" s="5"/>
      <c r="Y586" s="5"/>
      <c r="Z586" s="6"/>
      <c r="AA586" s="1"/>
      <c r="AB586" s="1"/>
      <c r="AC586" s="1"/>
    </row>
    <row r="587" ht="51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4"/>
      <c r="X587" s="5"/>
      <c r="Y587" s="5"/>
      <c r="Z587" s="6"/>
      <c r="AA587" s="1"/>
      <c r="AB587" s="1"/>
      <c r="AC587" s="1"/>
    </row>
    <row r="588" ht="51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4"/>
      <c r="X588" s="5"/>
      <c r="Y588" s="5"/>
      <c r="Z588" s="6"/>
      <c r="AA588" s="1"/>
      <c r="AB588" s="1"/>
      <c r="AC588" s="1"/>
    </row>
    <row r="589" ht="51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4"/>
      <c r="X589" s="5"/>
      <c r="Y589" s="5"/>
      <c r="Z589" s="6"/>
      <c r="AA589" s="1"/>
      <c r="AB589" s="1"/>
      <c r="AC589" s="1"/>
    </row>
    <row r="590" ht="51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4"/>
      <c r="X590" s="5"/>
      <c r="Y590" s="5"/>
      <c r="Z590" s="6"/>
      <c r="AA590" s="1"/>
      <c r="AB590" s="1"/>
      <c r="AC590" s="1"/>
    </row>
    <row r="591" ht="51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4"/>
      <c r="X591" s="5"/>
      <c r="Y591" s="5"/>
      <c r="Z591" s="6"/>
      <c r="AA591" s="1"/>
      <c r="AB591" s="1"/>
      <c r="AC591" s="1"/>
    </row>
    <row r="592" ht="51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4"/>
      <c r="X592" s="5"/>
      <c r="Y592" s="5"/>
      <c r="Z592" s="6"/>
      <c r="AA592" s="1"/>
      <c r="AB592" s="1"/>
      <c r="AC592" s="1"/>
    </row>
    <row r="593" ht="51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4"/>
      <c r="X593" s="5"/>
      <c r="Y593" s="5"/>
      <c r="Z593" s="6"/>
      <c r="AA593" s="1"/>
      <c r="AB593" s="1"/>
      <c r="AC593" s="1"/>
    </row>
    <row r="594" ht="51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4"/>
      <c r="X594" s="5"/>
      <c r="Y594" s="5"/>
      <c r="Z594" s="6"/>
      <c r="AA594" s="1"/>
      <c r="AB594" s="1"/>
      <c r="AC594" s="1"/>
    </row>
    <row r="595" ht="51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4"/>
      <c r="X595" s="5"/>
      <c r="Y595" s="5"/>
      <c r="Z595" s="6"/>
      <c r="AA595" s="1"/>
      <c r="AB595" s="1"/>
      <c r="AC595" s="1"/>
    </row>
    <row r="596" ht="51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4"/>
      <c r="X596" s="5"/>
      <c r="Y596" s="5"/>
      <c r="Z596" s="6"/>
      <c r="AA596" s="1"/>
      <c r="AB596" s="1"/>
      <c r="AC596" s="1"/>
    </row>
    <row r="597" ht="51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4"/>
      <c r="X597" s="5"/>
      <c r="Y597" s="5"/>
      <c r="Z597" s="6"/>
      <c r="AA597" s="1"/>
      <c r="AB597" s="1"/>
      <c r="AC597" s="1"/>
    </row>
    <row r="598" ht="51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4"/>
      <c r="X598" s="5"/>
      <c r="Y598" s="5"/>
      <c r="Z598" s="6"/>
      <c r="AA598" s="1"/>
      <c r="AB598" s="1"/>
      <c r="AC598" s="1"/>
    </row>
    <row r="599" ht="51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4"/>
      <c r="X599" s="5"/>
      <c r="Y599" s="5"/>
      <c r="Z599" s="6"/>
      <c r="AA599" s="1"/>
      <c r="AB599" s="1"/>
      <c r="AC599" s="1"/>
    </row>
    <row r="600" ht="51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4"/>
      <c r="X600" s="5"/>
      <c r="Y600" s="5"/>
      <c r="Z600" s="6"/>
      <c r="AA600" s="1"/>
      <c r="AB600" s="1"/>
      <c r="AC600" s="1"/>
    </row>
    <row r="601" ht="51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4"/>
      <c r="X601" s="5"/>
      <c r="Y601" s="5"/>
      <c r="Z601" s="6"/>
      <c r="AA601" s="1"/>
      <c r="AB601" s="1"/>
      <c r="AC601" s="1"/>
    </row>
    <row r="602" ht="51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4"/>
      <c r="X602" s="5"/>
      <c r="Y602" s="5"/>
      <c r="Z602" s="6"/>
      <c r="AA602" s="1"/>
      <c r="AB602" s="1"/>
      <c r="AC602" s="1"/>
    </row>
    <row r="603" ht="51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4"/>
      <c r="X603" s="5"/>
      <c r="Y603" s="5"/>
      <c r="Z603" s="6"/>
      <c r="AA603" s="1"/>
      <c r="AB603" s="1"/>
      <c r="AC603" s="1"/>
    </row>
    <row r="604" ht="51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4"/>
      <c r="X604" s="5"/>
      <c r="Y604" s="5"/>
      <c r="Z604" s="6"/>
      <c r="AA604" s="1"/>
      <c r="AB604" s="1"/>
      <c r="AC604" s="1"/>
    </row>
    <row r="605" ht="51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4"/>
      <c r="X605" s="5"/>
      <c r="Y605" s="5"/>
      <c r="Z605" s="6"/>
      <c r="AA605" s="1"/>
      <c r="AB605" s="1"/>
      <c r="AC605" s="1"/>
    </row>
    <row r="606" ht="51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4"/>
      <c r="X606" s="5"/>
      <c r="Y606" s="5"/>
      <c r="Z606" s="6"/>
      <c r="AA606" s="1"/>
      <c r="AB606" s="1"/>
      <c r="AC606" s="1"/>
    </row>
    <row r="607" ht="51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4"/>
      <c r="X607" s="5"/>
      <c r="Y607" s="5"/>
      <c r="Z607" s="6"/>
      <c r="AA607" s="1"/>
      <c r="AB607" s="1"/>
      <c r="AC607" s="1"/>
    </row>
    <row r="608" ht="51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4"/>
      <c r="X608" s="5"/>
      <c r="Y608" s="5"/>
      <c r="Z608" s="6"/>
      <c r="AA608" s="1"/>
      <c r="AB608" s="1"/>
      <c r="AC608" s="1"/>
    </row>
    <row r="609" ht="51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4"/>
      <c r="X609" s="5"/>
      <c r="Y609" s="5"/>
      <c r="Z609" s="6"/>
      <c r="AA609" s="1"/>
      <c r="AB609" s="1"/>
      <c r="AC609" s="1"/>
    </row>
    <row r="610" ht="51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4"/>
      <c r="X610" s="5"/>
      <c r="Y610" s="5"/>
      <c r="Z610" s="6"/>
      <c r="AA610" s="1"/>
      <c r="AB610" s="1"/>
      <c r="AC610" s="1"/>
    </row>
    <row r="611" ht="51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4"/>
      <c r="X611" s="5"/>
      <c r="Y611" s="5"/>
      <c r="Z611" s="6"/>
      <c r="AA611" s="1"/>
      <c r="AB611" s="1"/>
      <c r="AC611" s="1"/>
    </row>
    <row r="612" ht="51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4"/>
      <c r="X612" s="5"/>
      <c r="Y612" s="5"/>
      <c r="Z612" s="6"/>
      <c r="AA612" s="1"/>
      <c r="AB612" s="1"/>
      <c r="AC612" s="1"/>
    </row>
    <row r="613" ht="51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4"/>
      <c r="X613" s="5"/>
      <c r="Y613" s="5"/>
      <c r="Z613" s="6"/>
      <c r="AA613" s="1"/>
      <c r="AB613" s="1"/>
      <c r="AC613" s="1"/>
    </row>
    <row r="614" ht="51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4"/>
      <c r="X614" s="5"/>
      <c r="Y614" s="5"/>
      <c r="Z614" s="6"/>
      <c r="AA614" s="1"/>
      <c r="AB614" s="1"/>
      <c r="AC614" s="1"/>
    </row>
    <row r="615" ht="51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4"/>
      <c r="X615" s="5"/>
      <c r="Y615" s="5"/>
      <c r="Z615" s="6"/>
      <c r="AA615" s="1"/>
      <c r="AB615" s="1"/>
      <c r="AC615" s="1"/>
    </row>
    <row r="616" ht="51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4"/>
      <c r="X616" s="5"/>
      <c r="Y616" s="5"/>
      <c r="Z616" s="6"/>
      <c r="AA616" s="1"/>
      <c r="AB616" s="1"/>
      <c r="AC616" s="1"/>
    </row>
    <row r="617" ht="51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4"/>
      <c r="X617" s="5"/>
      <c r="Y617" s="5"/>
      <c r="Z617" s="6"/>
      <c r="AA617" s="1"/>
      <c r="AB617" s="1"/>
      <c r="AC617" s="1"/>
    </row>
    <row r="618" ht="51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4"/>
      <c r="X618" s="5"/>
      <c r="Y618" s="5"/>
      <c r="Z618" s="6"/>
      <c r="AA618" s="1"/>
      <c r="AB618" s="1"/>
      <c r="AC618" s="1"/>
    </row>
    <row r="619" ht="51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4"/>
      <c r="X619" s="5"/>
      <c r="Y619" s="5"/>
      <c r="Z619" s="6"/>
      <c r="AA619" s="1"/>
      <c r="AB619" s="1"/>
      <c r="AC619" s="1"/>
    </row>
    <row r="620" ht="51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4"/>
      <c r="X620" s="5"/>
      <c r="Y620" s="5"/>
      <c r="Z620" s="6"/>
      <c r="AA620" s="1"/>
      <c r="AB620" s="1"/>
      <c r="AC620" s="1"/>
    </row>
    <row r="621" ht="51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4"/>
      <c r="X621" s="5"/>
      <c r="Y621" s="5"/>
      <c r="Z621" s="6"/>
      <c r="AA621" s="1"/>
      <c r="AB621" s="1"/>
      <c r="AC621" s="1"/>
    </row>
    <row r="622" ht="51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4"/>
      <c r="X622" s="5"/>
      <c r="Y622" s="5"/>
      <c r="Z622" s="6"/>
      <c r="AA622" s="1"/>
      <c r="AB622" s="1"/>
      <c r="AC622" s="1"/>
    </row>
    <row r="623" ht="51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4"/>
      <c r="X623" s="5"/>
      <c r="Y623" s="5"/>
      <c r="Z623" s="6"/>
      <c r="AA623" s="1"/>
      <c r="AB623" s="1"/>
      <c r="AC623" s="1"/>
    </row>
    <row r="624" ht="51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4"/>
      <c r="X624" s="5"/>
      <c r="Y624" s="5"/>
      <c r="Z624" s="6"/>
      <c r="AA624" s="1"/>
      <c r="AB624" s="1"/>
      <c r="AC624" s="1"/>
    </row>
    <row r="625" ht="51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4"/>
      <c r="X625" s="5"/>
      <c r="Y625" s="5"/>
      <c r="Z625" s="6"/>
      <c r="AA625" s="1"/>
      <c r="AB625" s="1"/>
      <c r="AC625" s="1"/>
    </row>
    <row r="626" ht="51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4"/>
      <c r="X626" s="5"/>
      <c r="Y626" s="5"/>
      <c r="Z626" s="6"/>
      <c r="AA626" s="1"/>
      <c r="AB626" s="1"/>
      <c r="AC626" s="1"/>
    </row>
    <row r="627" ht="51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4"/>
      <c r="X627" s="5"/>
      <c r="Y627" s="5"/>
      <c r="Z627" s="6"/>
      <c r="AA627" s="1"/>
      <c r="AB627" s="1"/>
      <c r="AC627" s="1"/>
    </row>
    <row r="628" ht="51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4"/>
      <c r="X628" s="5"/>
      <c r="Y628" s="5"/>
      <c r="Z628" s="6"/>
      <c r="AA628" s="1"/>
      <c r="AB628" s="1"/>
      <c r="AC628" s="1"/>
    </row>
    <row r="629" ht="51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4"/>
      <c r="X629" s="5"/>
      <c r="Y629" s="5"/>
      <c r="Z629" s="6"/>
      <c r="AA629" s="1"/>
      <c r="AB629" s="1"/>
      <c r="AC629" s="1"/>
    </row>
    <row r="630" ht="51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4"/>
      <c r="X630" s="5"/>
      <c r="Y630" s="5"/>
      <c r="Z630" s="6"/>
      <c r="AA630" s="1"/>
      <c r="AB630" s="1"/>
      <c r="AC630" s="1"/>
    </row>
    <row r="631" ht="51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4"/>
      <c r="X631" s="5"/>
      <c r="Y631" s="5"/>
      <c r="Z631" s="6"/>
      <c r="AA631" s="1"/>
      <c r="AB631" s="1"/>
      <c r="AC631" s="1"/>
    </row>
    <row r="632" ht="51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4"/>
      <c r="X632" s="5"/>
      <c r="Y632" s="5"/>
      <c r="Z632" s="6"/>
      <c r="AA632" s="1"/>
      <c r="AB632" s="1"/>
      <c r="AC632" s="1"/>
    </row>
    <row r="633" ht="51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4"/>
      <c r="X633" s="5"/>
      <c r="Y633" s="5"/>
      <c r="Z633" s="6"/>
      <c r="AA633" s="1"/>
      <c r="AB633" s="1"/>
      <c r="AC633" s="1"/>
    </row>
    <row r="634" ht="51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4"/>
      <c r="X634" s="5"/>
      <c r="Y634" s="5"/>
      <c r="Z634" s="6"/>
      <c r="AA634" s="1"/>
      <c r="AB634" s="1"/>
      <c r="AC634" s="1"/>
    </row>
    <row r="635" ht="51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4"/>
      <c r="X635" s="5"/>
      <c r="Y635" s="5"/>
      <c r="Z635" s="6"/>
      <c r="AA635" s="1"/>
      <c r="AB635" s="1"/>
      <c r="AC635" s="1"/>
    </row>
    <row r="636" ht="51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4"/>
      <c r="X636" s="5"/>
      <c r="Y636" s="5"/>
      <c r="Z636" s="6"/>
      <c r="AA636" s="1"/>
      <c r="AB636" s="1"/>
      <c r="AC636" s="1"/>
    </row>
    <row r="637" ht="51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4"/>
      <c r="X637" s="5"/>
      <c r="Y637" s="5"/>
      <c r="Z637" s="6"/>
      <c r="AA637" s="1"/>
      <c r="AB637" s="1"/>
      <c r="AC637" s="1"/>
    </row>
    <row r="638" ht="51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4"/>
      <c r="X638" s="5"/>
      <c r="Y638" s="5"/>
      <c r="Z638" s="6"/>
      <c r="AA638" s="1"/>
      <c r="AB638" s="1"/>
      <c r="AC638" s="1"/>
    </row>
    <row r="639" ht="51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4"/>
      <c r="X639" s="5"/>
      <c r="Y639" s="5"/>
      <c r="Z639" s="6"/>
      <c r="AA639" s="1"/>
      <c r="AB639" s="1"/>
      <c r="AC639" s="1"/>
    </row>
    <row r="640" ht="51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4"/>
      <c r="X640" s="5"/>
      <c r="Y640" s="5"/>
      <c r="Z640" s="6"/>
      <c r="AA640" s="1"/>
      <c r="AB640" s="1"/>
      <c r="AC640" s="1"/>
    </row>
    <row r="641" ht="51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4"/>
      <c r="X641" s="5"/>
      <c r="Y641" s="5"/>
      <c r="Z641" s="6"/>
      <c r="AA641" s="1"/>
      <c r="AB641" s="1"/>
      <c r="AC641" s="1"/>
    </row>
    <row r="642" ht="51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4"/>
      <c r="X642" s="5"/>
      <c r="Y642" s="5"/>
      <c r="Z642" s="6"/>
      <c r="AA642" s="1"/>
      <c r="AB642" s="1"/>
      <c r="AC642" s="1"/>
    </row>
    <row r="643" ht="51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4"/>
      <c r="X643" s="5"/>
      <c r="Y643" s="5"/>
      <c r="Z643" s="6"/>
      <c r="AA643" s="1"/>
      <c r="AB643" s="1"/>
      <c r="AC643" s="1"/>
    </row>
    <row r="644" ht="51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4"/>
      <c r="X644" s="5"/>
      <c r="Y644" s="5"/>
      <c r="Z644" s="6"/>
      <c r="AA644" s="1"/>
      <c r="AB644" s="1"/>
      <c r="AC644" s="1"/>
    </row>
    <row r="645" ht="51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4"/>
      <c r="X645" s="5"/>
      <c r="Y645" s="5"/>
      <c r="Z645" s="6"/>
      <c r="AA645" s="1"/>
      <c r="AB645" s="1"/>
      <c r="AC645" s="1"/>
    </row>
    <row r="646" ht="51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4"/>
      <c r="X646" s="5"/>
      <c r="Y646" s="5"/>
      <c r="Z646" s="6"/>
      <c r="AA646" s="1"/>
      <c r="AB646" s="1"/>
      <c r="AC646" s="1"/>
    </row>
    <row r="647" ht="51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4"/>
      <c r="X647" s="5"/>
      <c r="Y647" s="5"/>
      <c r="Z647" s="6"/>
      <c r="AA647" s="1"/>
      <c r="AB647" s="1"/>
      <c r="AC647" s="1"/>
    </row>
    <row r="648" ht="51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4"/>
      <c r="X648" s="5"/>
      <c r="Y648" s="5"/>
      <c r="Z648" s="6"/>
      <c r="AA648" s="1"/>
      <c r="AB648" s="1"/>
      <c r="AC648" s="1"/>
    </row>
    <row r="649" ht="51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4"/>
      <c r="X649" s="5"/>
      <c r="Y649" s="5"/>
      <c r="Z649" s="6"/>
      <c r="AA649" s="1"/>
      <c r="AB649" s="1"/>
      <c r="AC649" s="1"/>
    </row>
    <row r="650" ht="51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4"/>
      <c r="X650" s="5"/>
      <c r="Y650" s="5"/>
      <c r="Z650" s="6"/>
      <c r="AA650" s="1"/>
      <c r="AB650" s="1"/>
      <c r="AC650" s="1"/>
    </row>
    <row r="651" ht="51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4"/>
      <c r="X651" s="5"/>
      <c r="Y651" s="5"/>
      <c r="Z651" s="6"/>
      <c r="AA651" s="1"/>
      <c r="AB651" s="1"/>
      <c r="AC651" s="1"/>
    </row>
    <row r="652" ht="51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4"/>
      <c r="X652" s="5"/>
      <c r="Y652" s="5"/>
      <c r="Z652" s="6"/>
      <c r="AA652" s="1"/>
      <c r="AB652" s="1"/>
      <c r="AC652" s="1"/>
    </row>
    <row r="653" ht="51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4"/>
      <c r="X653" s="5"/>
      <c r="Y653" s="5"/>
      <c r="Z653" s="6"/>
      <c r="AA653" s="1"/>
      <c r="AB653" s="1"/>
      <c r="AC653" s="1"/>
    </row>
    <row r="654" ht="51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4"/>
      <c r="X654" s="5"/>
      <c r="Y654" s="5"/>
      <c r="Z654" s="6"/>
      <c r="AA654" s="1"/>
      <c r="AB654" s="1"/>
      <c r="AC654" s="1"/>
    </row>
    <row r="655" ht="51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4"/>
      <c r="X655" s="5"/>
      <c r="Y655" s="5"/>
      <c r="Z655" s="6"/>
      <c r="AA655" s="1"/>
      <c r="AB655" s="1"/>
      <c r="AC655" s="1"/>
    </row>
    <row r="656" ht="51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4"/>
      <c r="X656" s="5"/>
      <c r="Y656" s="5"/>
      <c r="Z656" s="6"/>
      <c r="AA656" s="1"/>
      <c r="AB656" s="1"/>
      <c r="AC656" s="1"/>
    </row>
    <row r="657" ht="51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4"/>
      <c r="X657" s="5"/>
      <c r="Y657" s="5"/>
      <c r="Z657" s="6"/>
      <c r="AA657" s="1"/>
      <c r="AB657" s="1"/>
      <c r="AC657" s="1"/>
    </row>
    <row r="658" ht="51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4"/>
      <c r="X658" s="5"/>
      <c r="Y658" s="5"/>
      <c r="Z658" s="6"/>
      <c r="AA658" s="1"/>
      <c r="AB658" s="1"/>
      <c r="AC658" s="1"/>
    </row>
    <row r="659" ht="51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4"/>
      <c r="X659" s="5"/>
      <c r="Y659" s="5"/>
      <c r="Z659" s="6"/>
      <c r="AA659" s="1"/>
      <c r="AB659" s="1"/>
      <c r="AC659" s="1"/>
    </row>
    <row r="660" ht="51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4"/>
      <c r="X660" s="5"/>
      <c r="Y660" s="5"/>
      <c r="Z660" s="6"/>
      <c r="AA660" s="1"/>
      <c r="AB660" s="1"/>
      <c r="AC660" s="1"/>
    </row>
    <row r="661" ht="51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4"/>
      <c r="X661" s="5"/>
      <c r="Y661" s="5"/>
      <c r="Z661" s="6"/>
      <c r="AA661" s="1"/>
      <c r="AB661" s="1"/>
      <c r="AC661" s="1"/>
    </row>
    <row r="662" ht="51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4"/>
      <c r="X662" s="5"/>
      <c r="Y662" s="5"/>
      <c r="Z662" s="6"/>
      <c r="AA662" s="1"/>
      <c r="AB662" s="1"/>
      <c r="AC662" s="1"/>
    </row>
    <row r="663" ht="51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4"/>
      <c r="X663" s="5"/>
      <c r="Y663" s="5"/>
      <c r="Z663" s="6"/>
      <c r="AA663" s="1"/>
      <c r="AB663" s="1"/>
      <c r="AC663" s="1"/>
    </row>
    <row r="664" ht="51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4"/>
      <c r="X664" s="5"/>
      <c r="Y664" s="5"/>
      <c r="Z664" s="6"/>
      <c r="AA664" s="1"/>
      <c r="AB664" s="1"/>
      <c r="AC664" s="1"/>
    </row>
    <row r="665" ht="51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4"/>
      <c r="X665" s="5"/>
      <c r="Y665" s="5"/>
      <c r="Z665" s="6"/>
      <c r="AA665" s="1"/>
      <c r="AB665" s="1"/>
      <c r="AC665" s="1"/>
    </row>
    <row r="666" ht="51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4"/>
      <c r="X666" s="5"/>
      <c r="Y666" s="5"/>
      <c r="Z666" s="6"/>
      <c r="AA666" s="1"/>
      <c r="AB666" s="1"/>
      <c r="AC666" s="1"/>
    </row>
    <row r="667" ht="51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4"/>
      <c r="X667" s="5"/>
      <c r="Y667" s="5"/>
      <c r="Z667" s="6"/>
      <c r="AA667" s="1"/>
      <c r="AB667" s="1"/>
      <c r="AC667" s="1"/>
    </row>
    <row r="668" ht="51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4"/>
      <c r="X668" s="5"/>
      <c r="Y668" s="5"/>
      <c r="Z668" s="6"/>
      <c r="AA668" s="1"/>
      <c r="AB668" s="1"/>
      <c r="AC668" s="1"/>
    </row>
    <row r="669" ht="51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4"/>
      <c r="X669" s="5"/>
      <c r="Y669" s="5"/>
      <c r="Z669" s="6"/>
      <c r="AA669" s="1"/>
      <c r="AB669" s="1"/>
      <c r="AC669" s="1"/>
    </row>
    <row r="670" ht="51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4"/>
      <c r="X670" s="5"/>
      <c r="Y670" s="5"/>
      <c r="Z670" s="6"/>
      <c r="AA670" s="1"/>
      <c r="AB670" s="1"/>
      <c r="AC670" s="1"/>
    </row>
    <row r="671" ht="51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4"/>
      <c r="X671" s="5"/>
      <c r="Y671" s="5"/>
      <c r="Z671" s="6"/>
      <c r="AA671" s="1"/>
      <c r="AB671" s="1"/>
      <c r="AC671" s="1"/>
    </row>
    <row r="672" ht="51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4"/>
      <c r="X672" s="5"/>
      <c r="Y672" s="5"/>
      <c r="Z672" s="6"/>
      <c r="AA672" s="1"/>
      <c r="AB672" s="1"/>
      <c r="AC672" s="1"/>
    </row>
    <row r="673" ht="51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4"/>
      <c r="X673" s="5"/>
      <c r="Y673" s="5"/>
      <c r="Z673" s="6"/>
      <c r="AA673" s="1"/>
      <c r="AB673" s="1"/>
      <c r="AC673" s="1"/>
    </row>
    <row r="674" ht="51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4"/>
      <c r="X674" s="5"/>
      <c r="Y674" s="5"/>
      <c r="Z674" s="6"/>
      <c r="AA674" s="1"/>
      <c r="AB674" s="1"/>
      <c r="AC674" s="1"/>
    </row>
    <row r="675" ht="51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4"/>
      <c r="X675" s="5"/>
      <c r="Y675" s="5"/>
      <c r="Z675" s="6"/>
      <c r="AA675" s="1"/>
      <c r="AB675" s="1"/>
      <c r="AC675" s="1"/>
    </row>
    <row r="676" ht="51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4"/>
      <c r="X676" s="5"/>
      <c r="Y676" s="5"/>
      <c r="Z676" s="6"/>
      <c r="AA676" s="1"/>
      <c r="AB676" s="1"/>
      <c r="AC676" s="1"/>
    </row>
    <row r="677" ht="51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4"/>
      <c r="X677" s="5"/>
      <c r="Y677" s="5"/>
      <c r="Z677" s="6"/>
      <c r="AA677" s="1"/>
      <c r="AB677" s="1"/>
      <c r="AC677" s="1"/>
    </row>
    <row r="678" ht="51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4"/>
      <c r="X678" s="5"/>
      <c r="Y678" s="5"/>
      <c r="Z678" s="6"/>
      <c r="AA678" s="1"/>
      <c r="AB678" s="1"/>
      <c r="AC678" s="1"/>
    </row>
    <row r="679" ht="51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4"/>
      <c r="X679" s="5"/>
      <c r="Y679" s="5"/>
      <c r="Z679" s="6"/>
      <c r="AA679" s="1"/>
      <c r="AB679" s="1"/>
      <c r="AC679" s="1"/>
    </row>
    <row r="680" ht="51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4"/>
      <c r="X680" s="5"/>
      <c r="Y680" s="5"/>
      <c r="Z680" s="6"/>
      <c r="AA680" s="1"/>
      <c r="AB680" s="1"/>
      <c r="AC680" s="1"/>
    </row>
    <row r="681" ht="51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4"/>
      <c r="X681" s="5"/>
      <c r="Y681" s="5"/>
      <c r="Z681" s="6"/>
      <c r="AA681" s="1"/>
      <c r="AB681" s="1"/>
      <c r="AC681" s="1"/>
    </row>
    <row r="682" ht="51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4"/>
      <c r="X682" s="5"/>
      <c r="Y682" s="5"/>
      <c r="Z682" s="6"/>
      <c r="AA682" s="1"/>
      <c r="AB682" s="1"/>
      <c r="AC682" s="1"/>
    </row>
    <row r="683" ht="51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4"/>
      <c r="X683" s="5"/>
      <c r="Y683" s="5"/>
      <c r="Z683" s="6"/>
      <c r="AA683" s="1"/>
      <c r="AB683" s="1"/>
      <c r="AC683" s="1"/>
    </row>
    <row r="684" ht="51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4"/>
      <c r="X684" s="5"/>
      <c r="Y684" s="5"/>
      <c r="Z684" s="6"/>
      <c r="AA684" s="1"/>
      <c r="AB684" s="1"/>
      <c r="AC684" s="1"/>
    </row>
    <row r="685" ht="51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4"/>
      <c r="X685" s="5"/>
      <c r="Y685" s="5"/>
      <c r="Z685" s="6"/>
      <c r="AA685" s="1"/>
      <c r="AB685" s="1"/>
      <c r="AC685" s="1"/>
    </row>
    <row r="686" ht="51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4"/>
      <c r="X686" s="5"/>
      <c r="Y686" s="5"/>
      <c r="Z686" s="6"/>
      <c r="AA686" s="1"/>
      <c r="AB686" s="1"/>
      <c r="AC686" s="1"/>
    </row>
    <row r="687" ht="51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4"/>
      <c r="X687" s="5"/>
      <c r="Y687" s="5"/>
      <c r="Z687" s="6"/>
      <c r="AA687" s="1"/>
      <c r="AB687" s="1"/>
      <c r="AC687" s="1"/>
    </row>
    <row r="688" ht="51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4"/>
      <c r="X688" s="5"/>
      <c r="Y688" s="5"/>
      <c r="Z688" s="6"/>
      <c r="AA688" s="1"/>
      <c r="AB688" s="1"/>
      <c r="AC688" s="1"/>
    </row>
    <row r="689" ht="51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4"/>
      <c r="X689" s="5"/>
      <c r="Y689" s="5"/>
      <c r="Z689" s="6"/>
      <c r="AA689" s="1"/>
      <c r="AB689" s="1"/>
      <c r="AC689" s="1"/>
    </row>
    <row r="690" ht="51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4"/>
      <c r="X690" s="5"/>
      <c r="Y690" s="5"/>
      <c r="Z690" s="6"/>
      <c r="AA690" s="1"/>
      <c r="AB690" s="1"/>
      <c r="AC690" s="1"/>
    </row>
    <row r="691" ht="51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4"/>
      <c r="X691" s="5"/>
      <c r="Y691" s="5"/>
      <c r="Z691" s="6"/>
      <c r="AA691" s="1"/>
      <c r="AB691" s="1"/>
      <c r="AC691" s="1"/>
    </row>
    <row r="692" ht="51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4"/>
      <c r="X692" s="5"/>
      <c r="Y692" s="5"/>
      <c r="Z692" s="6"/>
      <c r="AA692" s="1"/>
      <c r="AB692" s="1"/>
      <c r="AC692" s="1"/>
    </row>
    <row r="693" ht="51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4"/>
      <c r="X693" s="5"/>
      <c r="Y693" s="5"/>
      <c r="Z693" s="6"/>
      <c r="AA693" s="1"/>
      <c r="AB693" s="1"/>
      <c r="AC693" s="1"/>
    </row>
    <row r="694" ht="51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4"/>
      <c r="X694" s="5"/>
      <c r="Y694" s="5"/>
      <c r="Z694" s="6"/>
      <c r="AA694" s="1"/>
      <c r="AB694" s="1"/>
      <c r="AC694" s="1"/>
    </row>
    <row r="695" ht="51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4"/>
      <c r="X695" s="5"/>
      <c r="Y695" s="5"/>
      <c r="Z695" s="6"/>
      <c r="AA695" s="1"/>
      <c r="AB695" s="1"/>
      <c r="AC695" s="1"/>
    </row>
    <row r="696" ht="51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4"/>
      <c r="X696" s="5"/>
      <c r="Y696" s="5"/>
      <c r="Z696" s="6"/>
      <c r="AA696" s="1"/>
      <c r="AB696" s="1"/>
      <c r="AC696" s="1"/>
    </row>
    <row r="697" ht="51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4"/>
      <c r="X697" s="5"/>
      <c r="Y697" s="5"/>
      <c r="Z697" s="6"/>
      <c r="AA697" s="1"/>
      <c r="AB697" s="1"/>
      <c r="AC697" s="1"/>
    </row>
    <row r="698" ht="51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4"/>
      <c r="X698" s="5"/>
      <c r="Y698" s="5"/>
      <c r="Z698" s="6"/>
      <c r="AA698" s="1"/>
      <c r="AB698" s="1"/>
      <c r="AC698" s="1"/>
    </row>
    <row r="699" ht="51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4"/>
      <c r="X699" s="5"/>
      <c r="Y699" s="5"/>
      <c r="Z699" s="6"/>
      <c r="AA699" s="1"/>
      <c r="AB699" s="1"/>
      <c r="AC699" s="1"/>
    </row>
    <row r="700" ht="51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4"/>
      <c r="X700" s="5"/>
      <c r="Y700" s="5"/>
      <c r="Z700" s="6"/>
      <c r="AA700" s="1"/>
      <c r="AB700" s="1"/>
      <c r="AC700" s="1"/>
    </row>
    <row r="701" ht="51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4"/>
      <c r="X701" s="5"/>
      <c r="Y701" s="5"/>
      <c r="Z701" s="6"/>
      <c r="AA701" s="1"/>
      <c r="AB701" s="1"/>
      <c r="AC701" s="1"/>
    </row>
    <row r="702" ht="51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4"/>
      <c r="X702" s="5"/>
      <c r="Y702" s="5"/>
      <c r="Z702" s="6"/>
      <c r="AA702" s="1"/>
      <c r="AB702" s="1"/>
      <c r="AC702" s="1"/>
    </row>
    <row r="703" ht="51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4"/>
      <c r="X703" s="5"/>
      <c r="Y703" s="5"/>
      <c r="Z703" s="6"/>
      <c r="AA703" s="1"/>
      <c r="AB703" s="1"/>
      <c r="AC703" s="1"/>
    </row>
    <row r="704" ht="51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4"/>
      <c r="X704" s="5"/>
      <c r="Y704" s="5"/>
      <c r="Z704" s="6"/>
      <c r="AA704" s="1"/>
      <c r="AB704" s="1"/>
      <c r="AC704" s="1"/>
    </row>
    <row r="705" ht="51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4"/>
      <c r="X705" s="5"/>
      <c r="Y705" s="5"/>
      <c r="Z705" s="6"/>
      <c r="AA705" s="1"/>
      <c r="AB705" s="1"/>
      <c r="AC705" s="1"/>
    </row>
    <row r="706" ht="51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4"/>
      <c r="X706" s="5"/>
      <c r="Y706" s="5"/>
      <c r="Z706" s="6"/>
      <c r="AA706" s="1"/>
      <c r="AB706" s="1"/>
      <c r="AC706" s="1"/>
    </row>
    <row r="707" ht="51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4"/>
      <c r="X707" s="5"/>
      <c r="Y707" s="5"/>
      <c r="Z707" s="6"/>
      <c r="AA707" s="1"/>
      <c r="AB707" s="1"/>
      <c r="AC707" s="1"/>
    </row>
    <row r="708" ht="51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4"/>
      <c r="X708" s="5"/>
      <c r="Y708" s="5"/>
      <c r="Z708" s="6"/>
      <c r="AA708" s="1"/>
      <c r="AB708" s="1"/>
      <c r="AC708" s="1"/>
    </row>
    <row r="709" ht="51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4"/>
      <c r="X709" s="5"/>
      <c r="Y709" s="5"/>
      <c r="Z709" s="6"/>
      <c r="AA709" s="1"/>
      <c r="AB709" s="1"/>
      <c r="AC709" s="1"/>
    </row>
    <row r="710" ht="51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4"/>
      <c r="X710" s="5"/>
      <c r="Y710" s="5"/>
      <c r="Z710" s="6"/>
      <c r="AA710" s="1"/>
      <c r="AB710" s="1"/>
      <c r="AC710" s="1"/>
    </row>
    <row r="711" ht="51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4"/>
      <c r="X711" s="5"/>
      <c r="Y711" s="5"/>
      <c r="Z711" s="6"/>
      <c r="AA711" s="1"/>
      <c r="AB711" s="1"/>
      <c r="AC711" s="1"/>
    </row>
    <row r="712" ht="51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4"/>
      <c r="X712" s="5"/>
      <c r="Y712" s="5"/>
      <c r="Z712" s="6"/>
      <c r="AA712" s="1"/>
      <c r="AB712" s="1"/>
      <c r="AC712" s="1"/>
    </row>
    <row r="713" ht="51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4"/>
      <c r="X713" s="5"/>
      <c r="Y713" s="5"/>
      <c r="Z713" s="6"/>
      <c r="AA713" s="1"/>
      <c r="AB713" s="1"/>
      <c r="AC713" s="1"/>
    </row>
    <row r="714" ht="51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4"/>
      <c r="X714" s="5"/>
      <c r="Y714" s="5"/>
      <c r="Z714" s="6"/>
      <c r="AA714" s="1"/>
      <c r="AB714" s="1"/>
      <c r="AC714" s="1"/>
    </row>
    <row r="715" ht="51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4"/>
      <c r="X715" s="5"/>
      <c r="Y715" s="5"/>
      <c r="Z715" s="6"/>
      <c r="AA715" s="1"/>
      <c r="AB715" s="1"/>
      <c r="AC715" s="1"/>
    </row>
    <row r="716" ht="51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4"/>
      <c r="X716" s="5"/>
      <c r="Y716" s="5"/>
      <c r="Z716" s="6"/>
      <c r="AA716" s="1"/>
      <c r="AB716" s="1"/>
      <c r="AC716" s="1"/>
    </row>
    <row r="717" ht="51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4"/>
      <c r="X717" s="5"/>
      <c r="Y717" s="5"/>
      <c r="Z717" s="6"/>
      <c r="AA717" s="1"/>
      <c r="AB717" s="1"/>
      <c r="AC717" s="1"/>
    </row>
    <row r="718" ht="51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4"/>
      <c r="X718" s="5"/>
      <c r="Y718" s="5"/>
      <c r="Z718" s="6"/>
      <c r="AA718" s="1"/>
      <c r="AB718" s="1"/>
      <c r="AC718" s="1"/>
    </row>
    <row r="719" ht="51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4"/>
      <c r="X719" s="5"/>
      <c r="Y719" s="5"/>
      <c r="Z719" s="6"/>
      <c r="AA719" s="1"/>
      <c r="AB719" s="1"/>
      <c r="AC719" s="1"/>
    </row>
    <row r="720" ht="51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4"/>
      <c r="X720" s="5"/>
      <c r="Y720" s="5"/>
      <c r="Z720" s="6"/>
      <c r="AA720" s="1"/>
      <c r="AB720" s="1"/>
      <c r="AC720" s="1"/>
    </row>
    <row r="721" ht="51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4"/>
      <c r="X721" s="5"/>
      <c r="Y721" s="5"/>
      <c r="Z721" s="6"/>
      <c r="AA721" s="1"/>
      <c r="AB721" s="1"/>
      <c r="AC721" s="1"/>
    </row>
    <row r="722" ht="51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4"/>
      <c r="X722" s="5"/>
      <c r="Y722" s="5"/>
      <c r="Z722" s="6"/>
      <c r="AA722" s="1"/>
      <c r="AB722" s="1"/>
      <c r="AC722" s="1"/>
    </row>
    <row r="723" ht="51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4"/>
      <c r="X723" s="5"/>
      <c r="Y723" s="5"/>
      <c r="Z723" s="6"/>
      <c r="AA723" s="1"/>
      <c r="AB723" s="1"/>
      <c r="AC723" s="1"/>
    </row>
    <row r="724" ht="51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4"/>
      <c r="X724" s="5"/>
      <c r="Y724" s="5"/>
      <c r="Z724" s="6"/>
      <c r="AA724" s="1"/>
      <c r="AB724" s="1"/>
      <c r="AC724" s="1"/>
    </row>
    <row r="725" ht="51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4"/>
      <c r="X725" s="5"/>
      <c r="Y725" s="5"/>
      <c r="Z725" s="6"/>
      <c r="AA725" s="1"/>
      <c r="AB725" s="1"/>
      <c r="AC725" s="1"/>
    </row>
    <row r="726" ht="51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4"/>
      <c r="X726" s="5"/>
      <c r="Y726" s="5"/>
      <c r="Z726" s="6"/>
      <c r="AA726" s="1"/>
      <c r="AB726" s="1"/>
      <c r="AC726" s="1"/>
    </row>
    <row r="727" ht="51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4"/>
      <c r="X727" s="5"/>
      <c r="Y727" s="5"/>
      <c r="Z727" s="6"/>
      <c r="AA727" s="1"/>
      <c r="AB727" s="1"/>
      <c r="AC727" s="1"/>
    </row>
    <row r="728" ht="51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4"/>
      <c r="X728" s="5"/>
      <c r="Y728" s="5"/>
      <c r="Z728" s="6"/>
      <c r="AA728" s="1"/>
      <c r="AB728" s="1"/>
      <c r="AC728" s="1"/>
    </row>
    <row r="729" ht="51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4"/>
      <c r="X729" s="5"/>
      <c r="Y729" s="5"/>
      <c r="Z729" s="6"/>
      <c r="AA729" s="1"/>
      <c r="AB729" s="1"/>
      <c r="AC729" s="1"/>
    </row>
    <row r="730" ht="51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4"/>
      <c r="X730" s="5"/>
      <c r="Y730" s="5"/>
      <c r="Z730" s="6"/>
      <c r="AA730" s="1"/>
      <c r="AB730" s="1"/>
      <c r="AC730" s="1"/>
    </row>
    <row r="731" ht="51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4"/>
      <c r="X731" s="5"/>
      <c r="Y731" s="5"/>
      <c r="Z731" s="6"/>
      <c r="AA731" s="1"/>
      <c r="AB731" s="1"/>
      <c r="AC731" s="1"/>
    </row>
    <row r="732" ht="51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4"/>
      <c r="X732" s="5"/>
      <c r="Y732" s="5"/>
      <c r="Z732" s="6"/>
      <c r="AA732" s="1"/>
      <c r="AB732" s="1"/>
      <c r="AC732" s="1"/>
    </row>
    <row r="733" ht="51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4"/>
      <c r="X733" s="5"/>
      <c r="Y733" s="5"/>
      <c r="Z733" s="6"/>
      <c r="AA733" s="1"/>
      <c r="AB733" s="1"/>
      <c r="AC733" s="1"/>
    </row>
    <row r="734" ht="51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4"/>
      <c r="X734" s="5"/>
      <c r="Y734" s="5"/>
      <c r="Z734" s="6"/>
      <c r="AA734" s="1"/>
      <c r="AB734" s="1"/>
      <c r="AC734" s="1"/>
    </row>
    <row r="735" ht="51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4"/>
      <c r="X735" s="5"/>
      <c r="Y735" s="5"/>
      <c r="Z735" s="6"/>
      <c r="AA735" s="1"/>
      <c r="AB735" s="1"/>
      <c r="AC735" s="1"/>
    </row>
    <row r="736" ht="51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4"/>
      <c r="X736" s="5"/>
      <c r="Y736" s="5"/>
      <c r="Z736" s="6"/>
      <c r="AA736" s="1"/>
      <c r="AB736" s="1"/>
      <c r="AC736" s="1"/>
    </row>
    <row r="737" ht="51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4"/>
      <c r="X737" s="5"/>
      <c r="Y737" s="5"/>
      <c r="Z737" s="6"/>
      <c r="AA737" s="1"/>
      <c r="AB737" s="1"/>
      <c r="AC737" s="1"/>
    </row>
    <row r="738" ht="51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4"/>
      <c r="X738" s="5"/>
      <c r="Y738" s="5"/>
      <c r="Z738" s="6"/>
      <c r="AA738" s="1"/>
      <c r="AB738" s="1"/>
      <c r="AC738" s="1"/>
    </row>
    <row r="739" ht="51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4"/>
      <c r="X739" s="5"/>
      <c r="Y739" s="5"/>
      <c r="Z739" s="6"/>
      <c r="AA739" s="1"/>
      <c r="AB739" s="1"/>
      <c r="AC739" s="1"/>
    </row>
    <row r="740" ht="51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4"/>
      <c r="X740" s="5"/>
      <c r="Y740" s="5"/>
      <c r="Z740" s="6"/>
      <c r="AA740" s="1"/>
      <c r="AB740" s="1"/>
      <c r="AC740" s="1"/>
    </row>
    <row r="741" ht="51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4"/>
      <c r="X741" s="5"/>
      <c r="Y741" s="5"/>
      <c r="Z741" s="6"/>
      <c r="AA741" s="1"/>
      <c r="AB741" s="1"/>
      <c r="AC741" s="1"/>
    </row>
    <row r="742" ht="51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4"/>
      <c r="X742" s="5"/>
      <c r="Y742" s="5"/>
      <c r="Z742" s="6"/>
      <c r="AA742" s="1"/>
      <c r="AB742" s="1"/>
      <c r="AC742" s="1"/>
    </row>
    <row r="743" ht="51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4"/>
      <c r="X743" s="5"/>
      <c r="Y743" s="5"/>
      <c r="Z743" s="6"/>
      <c r="AA743" s="1"/>
      <c r="AB743" s="1"/>
      <c r="AC743" s="1"/>
    </row>
    <row r="744" ht="51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4"/>
      <c r="X744" s="5"/>
      <c r="Y744" s="5"/>
      <c r="Z744" s="6"/>
      <c r="AA744" s="1"/>
      <c r="AB744" s="1"/>
      <c r="AC744" s="1"/>
    </row>
    <row r="745" ht="51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4"/>
      <c r="X745" s="5"/>
      <c r="Y745" s="5"/>
      <c r="Z745" s="6"/>
      <c r="AA745" s="1"/>
      <c r="AB745" s="1"/>
      <c r="AC745" s="1"/>
    </row>
    <row r="746" ht="51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4"/>
      <c r="X746" s="5"/>
      <c r="Y746" s="5"/>
      <c r="Z746" s="6"/>
      <c r="AA746" s="1"/>
      <c r="AB746" s="1"/>
      <c r="AC746" s="1"/>
    </row>
    <row r="747" ht="51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4"/>
      <c r="X747" s="5"/>
      <c r="Y747" s="5"/>
      <c r="Z747" s="6"/>
      <c r="AA747" s="1"/>
      <c r="AB747" s="1"/>
      <c r="AC747" s="1"/>
    </row>
    <row r="748" ht="51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4"/>
      <c r="X748" s="5"/>
      <c r="Y748" s="5"/>
      <c r="Z748" s="6"/>
      <c r="AA748" s="1"/>
      <c r="AB748" s="1"/>
      <c r="AC748" s="1"/>
    </row>
    <row r="749" ht="51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4"/>
      <c r="X749" s="5"/>
      <c r="Y749" s="5"/>
      <c r="Z749" s="6"/>
      <c r="AA749" s="1"/>
      <c r="AB749" s="1"/>
      <c r="AC749" s="1"/>
    </row>
    <row r="750" ht="51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4"/>
      <c r="X750" s="5"/>
      <c r="Y750" s="5"/>
      <c r="Z750" s="6"/>
      <c r="AA750" s="1"/>
      <c r="AB750" s="1"/>
      <c r="AC750" s="1"/>
    </row>
    <row r="751" ht="51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4"/>
      <c r="X751" s="5"/>
      <c r="Y751" s="5"/>
      <c r="Z751" s="6"/>
      <c r="AA751" s="1"/>
      <c r="AB751" s="1"/>
      <c r="AC751" s="1"/>
    </row>
    <row r="752" ht="51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4"/>
      <c r="X752" s="5"/>
      <c r="Y752" s="5"/>
      <c r="Z752" s="6"/>
      <c r="AA752" s="1"/>
      <c r="AB752" s="1"/>
      <c r="AC752" s="1"/>
    </row>
    <row r="753" ht="51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4"/>
      <c r="X753" s="5"/>
      <c r="Y753" s="5"/>
      <c r="Z753" s="6"/>
      <c r="AA753" s="1"/>
      <c r="AB753" s="1"/>
      <c r="AC753" s="1"/>
    </row>
    <row r="754" ht="51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4"/>
      <c r="X754" s="5"/>
      <c r="Y754" s="5"/>
      <c r="Z754" s="6"/>
      <c r="AA754" s="1"/>
      <c r="AB754" s="1"/>
      <c r="AC754" s="1"/>
    </row>
    <row r="755" ht="51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4"/>
      <c r="X755" s="5"/>
      <c r="Y755" s="5"/>
      <c r="Z755" s="6"/>
      <c r="AA755" s="1"/>
      <c r="AB755" s="1"/>
      <c r="AC755" s="1"/>
    </row>
    <row r="756" ht="51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4"/>
      <c r="X756" s="5"/>
      <c r="Y756" s="5"/>
      <c r="Z756" s="6"/>
      <c r="AA756" s="1"/>
      <c r="AB756" s="1"/>
      <c r="AC756" s="1"/>
    </row>
    <row r="757" ht="51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4"/>
      <c r="X757" s="5"/>
      <c r="Y757" s="5"/>
      <c r="Z757" s="6"/>
      <c r="AA757" s="1"/>
      <c r="AB757" s="1"/>
      <c r="AC757" s="1"/>
    </row>
    <row r="758" ht="51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4"/>
      <c r="X758" s="5"/>
      <c r="Y758" s="5"/>
      <c r="Z758" s="6"/>
      <c r="AA758" s="1"/>
      <c r="AB758" s="1"/>
      <c r="AC758" s="1"/>
    </row>
    <row r="759" ht="51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4"/>
      <c r="X759" s="5"/>
      <c r="Y759" s="5"/>
      <c r="Z759" s="6"/>
      <c r="AA759" s="1"/>
      <c r="AB759" s="1"/>
      <c r="AC759" s="1"/>
    </row>
    <row r="760" ht="51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4"/>
      <c r="X760" s="5"/>
      <c r="Y760" s="5"/>
      <c r="Z760" s="6"/>
      <c r="AA760" s="1"/>
      <c r="AB760" s="1"/>
      <c r="AC760" s="1"/>
    </row>
    <row r="761" ht="51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4"/>
      <c r="X761" s="5"/>
      <c r="Y761" s="5"/>
      <c r="Z761" s="6"/>
      <c r="AA761" s="1"/>
      <c r="AB761" s="1"/>
      <c r="AC761" s="1"/>
    </row>
    <row r="762" ht="51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4"/>
      <c r="X762" s="5"/>
      <c r="Y762" s="5"/>
      <c r="Z762" s="6"/>
      <c r="AA762" s="1"/>
      <c r="AB762" s="1"/>
      <c r="AC762" s="1"/>
    </row>
    <row r="763" ht="51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4"/>
      <c r="X763" s="5"/>
      <c r="Y763" s="5"/>
      <c r="Z763" s="6"/>
      <c r="AA763" s="1"/>
      <c r="AB763" s="1"/>
      <c r="AC763" s="1"/>
    </row>
    <row r="764" ht="51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4"/>
      <c r="X764" s="5"/>
      <c r="Y764" s="5"/>
      <c r="Z764" s="6"/>
      <c r="AA764" s="1"/>
      <c r="AB764" s="1"/>
      <c r="AC764" s="1"/>
    </row>
    <row r="765" ht="51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4"/>
      <c r="X765" s="5"/>
      <c r="Y765" s="5"/>
      <c r="Z765" s="6"/>
      <c r="AA765" s="1"/>
      <c r="AB765" s="1"/>
      <c r="AC765" s="1"/>
    </row>
    <row r="766" ht="51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4"/>
      <c r="X766" s="5"/>
      <c r="Y766" s="5"/>
      <c r="Z766" s="6"/>
      <c r="AA766" s="1"/>
      <c r="AB766" s="1"/>
      <c r="AC766" s="1"/>
    </row>
    <row r="767" ht="51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4"/>
      <c r="X767" s="5"/>
      <c r="Y767" s="5"/>
      <c r="Z767" s="6"/>
      <c r="AA767" s="1"/>
      <c r="AB767" s="1"/>
      <c r="AC767" s="1"/>
    </row>
    <row r="768" ht="51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4"/>
      <c r="X768" s="5"/>
      <c r="Y768" s="5"/>
      <c r="Z768" s="6"/>
      <c r="AA768" s="1"/>
      <c r="AB768" s="1"/>
      <c r="AC768" s="1"/>
    </row>
    <row r="769" ht="51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4"/>
      <c r="X769" s="5"/>
      <c r="Y769" s="5"/>
      <c r="Z769" s="6"/>
      <c r="AA769" s="1"/>
      <c r="AB769" s="1"/>
      <c r="AC769" s="1"/>
    </row>
    <row r="770" ht="51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4"/>
      <c r="X770" s="5"/>
      <c r="Y770" s="5"/>
      <c r="Z770" s="6"/>
      <c r="AA770" s="1"/>
      <c r="AB770" s="1"/>
      <c r="AC770" s="1"/>
    </row>
    <row r="771" ht="51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4"/>
      <c r="X771" s="5"/>
      <c r="Y771" s="5"/>
      <c r="Z771" s="6"/>
      <c r="AA771" s="1"/>
      <c r="AB771" s="1"/>
      <c r="AC771" s="1"/>
    </row>
    <row r="772" ht="51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4"/>
      <c r="X772" s="5"/>
      <c r="Y772" s="5"/>
      <c r="Z772" s="6"/>
      <c r="AA772" s="1"/>
      <c r="AB772" s="1"/>
      <c r="AC772" s="1"/>
    </row>
    <row r="773" ht="51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4"/>
      <c r="X773" s="5"/>
      <c r="Y773" s="5"/>
      <c r="Z773" s="6"/>
      <c r="AA773" s="1"/>
      <c r="AB773" s="1"/>
      <c r="AC773" s="1"/>
    </row>
    <row r="774" ht="51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4"/>
      <c r="X774" s="5"/>
      <c r="Y774" s="5"/>
      <c r="Z774" s="6"/>
      <c r="AA774" s="1"/>
      <c r="AB774" s="1"/>
      <c r="AC774" s="1"/>
    </row>
    <row r="775" ht="51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4"/>
      <c r="X775" s="5"/>
      <c r="Y775" s="5"/>
      <c r="Z775" s="6"/>
      <c r="AA775" s="1"/>
      <c r="AB775" s="1"/>
      <c r="AC775" s="1"/>
    </row>
    <row r="776" ht="51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4"/>
      <c r="X776" s="5"/>
      <c r="Y776" s="5"/>
      <c r="Z776" s="6"/>
      <c r="AA776" s="1"/>
      <c r="AB776" s="1"/>
      <c r="AC776" s="1"/>
    </row>
    <row r="777" ht="51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4"/>
      <c r="X777" s="5"/>
      <c r="Y777" s="5"/>
      <c r="Z777" s="6"/>
      <c r="AA777" s="1"/>
      <c r="AB777" s="1"/>
      <c r="AC777" s="1"/>
    </row>
    <row r="778" ht="51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4"/>
      <c r="X778" s="5"/>
      <c r="Y778" s="5"/>
      <c r="Z778" s="6"/>
      <c r="AA778" s="1"/>
      <c r="AB778" s="1"/>
      <c r="AC778" s="1"/>
    </row>
    <row r="779" ht="51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4"/>
      <c r="X779" s="5"/>
      <c r="Y779" s="5"/>
      <c r="Z779" s="6"/>
      <c r="AA779" s="1"/>
      <c r="AB779" s="1"/>
      <c r="AC779" s="1"/>
    </row>
    <row r="780" ht="51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4"/>
      <c r="X780" s="5"/>
      <c r="Y780" s="5"/>
      <c r="Z780" s="6"/>
      <c r="AA780" s="1"/>
      <c r="AB780" s="1"/>
      <c r="AC780" s="1"/>
    </row>
    <row r="781" ht="51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4"/>
      <c r="X781" s="5"/>
      <c r="Y781" s="5"/>
      <c r="Z781" s="6"/>
      <c r="AA781" s="1"/>
      <c r="AB781" s="1"/>
      <c r="AC781" s="1"/>
    </row>
    <row r="782" ht="51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4"/>
      <c r="X782" s="5"/>
      <c r="Y782" s="5"/>
      <c r="Z782" s="6"/>
      <c r="AA782" s="1"/>
      <c r="AB782" s="1"/>
      <c r="AC782" s="1"/>
    </row>
    <row r="783" ht="51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4"/>
      <c r="X783" s="5"/>
      <c r="Y783" s="5"/>
      <c r="Z783" s="6"/>
      <c r="AA783" s="1"/>
      <c r="AB783" s="1"/>
      <c r="AC783" s="1"/>
    </row>
    <row r="784" ht="51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4"/>
      <c r="X784" s="5"/>
      <c r="Y784" s="5"/>
      <c r="Z784" s="6"/>
      <c r="AA784" s="1"/>
      <c r="AB784" s="1"/>
      <c r="AC784" s="1"/>
    </row>
    <row r="785" ht="51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4"/>
      <c r="X785" s="5"/>
      <c r="Y785" s="5"/>
      <c r="Z785" s="6"/>
      <c r="AA785" s="1"/>
      <c r="AB785" s="1"/>
      <c r="AC785" s="1"/>
    </row>
    <row r="786" ht="51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4"/>
      <c r="X786" s="5"/>
      <c r="Y786" s="5"/>
      <c r="Z786" s="6"/>
      <c r="AA786" s="1"/>
      <c r="AB786" s="1"/>
      <c r="AC786" s="1"/>
    </row>
    <row r="787" ht="51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4"/>
      <c r="X787" s="5"/>
      <c r="Y787" s="5"/>
      <c r="Z787" s="6"/>
      <c r="AA787" s="1"/>
      <c r="AB787" s="1"/>
      <c r="AC787" s="1"/>
    </row>
    <row r="788" ht="51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4"/>
      <c r="X788" s="5"/>
      <c r="Y788" s="5"/>
      <c r="Z788" s="6"/>
      <c r="AA788" s="1"/>
      <c r="AB788" s="1"/>
      <c r="AC788" s="1"/>
    </row>
    <row r="789" ht="51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4"/>
      <c r="X789" s="5"/>
      <c r="Y789" s="5"/>
      <c r="Z789" s="6"/>
      <c r="AA789" s="1"/>
      <c r="AB789" s="1"/>
      <c r="AC789" s="1"/>
    </row>
    <row r="790" ht="51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4"/>
      <c r="X790" s="5"/>
      <c r="Y790" s="5"/>
      <c r="Z790" s="6"/>
      <c r="AA790" s="1"/>
      <c r="AB790" s="1"/>
      <c r="AC790" s="1"/>
    </row>
    <row r="791" ht="51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4"/>
      <c r="X791" s="5"/>
      <c r="Y791" s="5"/>
      <c r="Z791" s="6"/>
      <c r="AA791" s="1"/>
      <c r="AB791" s="1"/>
      <c r="AC791" s="1"/>
    </row>
    <row r="792" ht="51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4"/>
      <c r="X792" s="5"/>
      <c r="Y792" s="5"/>
      <c r="Z792" s="6"/>
      <c r="AA792" s="1"/>
      <c r="AB792" s="1"/>
      <c r="AC792" s="1"/>
    </row>
    <row r="793" ht="51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4"/>
      <c r="X793" s="5"/>
      <c r="Y793" s="5"/>
      <c r="Z793" s="6"/>
      <c r="AA793" s="1"/>
      <c r="AB793" s="1"/>
      <c r="AC793" s="1"/>
    </row>
    <row r="794" ht="51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4"/>
      <c r="X794" s="5"/>
      <c r="Y794" s="5"/>
      <c r="Z794" s="6"/>
      <c r="AA794" s="1"/>
      <c r="AB794" s="1"/>
      <c r="AC794" s="1"/>
    </row>
    <row r="795" ht="51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4"/>
      <c r="X795" s="5"/>
      <c r="Y795" s="5"/>
      <c r="Z795" s="6"/>
      <c r="AA795" s="1"/>
      <c r="AB795" s="1"/>
      <c r="AC795" s="1"/>
    </row>
    <row r="796" ht="51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4"/>
      <c r="X796" s="5"/>
      <c r="Y796" s="5"/>
      <c r="Z796" s="6"/>
      <c r="AA796" s="1"/>
      <c r="AB796" s="1"/>
      <c r="AC796" s="1"/>
    </row>
    <row r="797" ht="51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4"/>
      <c r="X797" s="5"/>
      <c r="Y797" s="5"/>
      <c r="Z797" s="6"/>
      <c r="AA797" s="1"/>
      <c r="AB797" s="1"/>
      <c r="AC797" s="1"/>
    </row>
    <row r="798" ht="51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4"/>
      <c r="X798" s="5"/>
      <c r="Y798" s="5"/>
      <c r="Z798" s="6"/>
      <c r="AA798" s="1"/>
      <c r="AB798" s="1"/>
      <c r="AC798" s="1"/>
    </row>
    <row r="799" ht="51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4"/>
      <c r="X799" s="5"/>
      <c r="Y799" s="5"/>
      <c r="Z799" s="6"/>
      <c r="AA799" s="1"/>
      <c r="AB799" s="1"/>
      <c r="AC799" s="1"/>
    </row>
    <row r="800" ht="51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4"/>
      <c r="X800" s="5"/>
      <c r="Y800" s="5"/>
      <c r="Z800" s="6"/>
      <c r="AA800" s="1"/>
      <c r="AB800" s="1"/>
      <c r="AC800" s="1"/>
    </row>
    <row r="801" ht="51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4"/>
      <c r="X801" s="5"/>
      <c r="Y801" s="5"/>
      <c r="Z801" s="6"/>
      <c r="AA801" s="1"/>
      <c r="AB801" s="1"/>
      <c r="AC801" s="1"/>
    </row>
    <row r="802" ht="51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4"/>
      <c r="X802" s="5"/>
      <c r="Y802" s="5"/>
      <c r="Z802" s="6"/>
      <c r="AA802" s="1"/>
      <c r="AB802" s="1"/>
      <c r="AC802" s="1"/>
    </row>
    <row r="803" ht="51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4"/>
      <c r="X803" s="5"/>
      <c r="Y803" s="5"/>
      <c r="Z803" s="6"/>
      <c r="AA803" s="1"/>
      <c r="AB803" s="1"/>
      <c r="AC803" s="1"/>
    </row>
    <row r="804" ht="51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4"/>
      <c r="X804" s="5"/>
      <c r="Y804" s="5"/>
      <c r="Z804" s="6"/>
      <c r="AA804" s="1"/>
      <c r="AB804" s="1"/>
      <c r="AC804" s="1"/>
    </row>
    <row r="805" ht="51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4"/>
      <c r="X805" s="5"/>
      <c r="Y805" s="5"/>
      <c r="Z805" s="6"/>
      <c r="AA805" s="1"/>
      <c r="AB805" s="1"/>
      <c r="AC805" s="1"/>
    </row>
    <row r="806" ht="51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4"/>
      <c r="X806" s="5"/>
      <c r="Y806" s="5"/>
      <c r="Z806" s="6"/>
      <c r="AA806" s="1"/>
      <c r="AB806" s="1"/>
      <c r="AC806" s="1"/>
    </row>
    <row r="807" ht="51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4"/>
      <c r="X807" s="5"/>
      <c r="Y807" s="5"/>
      <c r="Z807" s="6"/>
      <c r="AA807" s="1"/>
      <c r="AB807" s="1"/>
      <c r="AC807" s="1"/>
    </row>
    <row r="808" ht="51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4"/>
      <c r="X808" s="5"/>
      <c r="Y808" s="5"/>
      <c r="Z808" s="6"/>
      <c r="AA808" s="1"/>
      <c r="AB808" s="1"/>
      <c r="AC808" s="1"/>
    </row>
    <row r="809" ht="51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4"/>
      <c r="X809" s="5"/>
      <c r="Y809" s="5"/>
      <c r="Z809" s="6"/>
      <c r="AA809" s="1"/>
      <c r="AB809" s="1"/>
      <c r="AC809" s="1"/>
    </row>
    <row r="810" ht="51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4"/>
      <c r="X810" s="5"/>
      <c r="Y810" s="5"/>
      <c r="Z810" s="6"/>
      <c r="AA810" s="1"/>
      <c r="AB810" s="1"/>
      <c r="AC810" s="1"/>
    </row>
    <row r="811" ht="51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4"/>
      <c r="X811" s="5"/>
      <c r="Y811" s="5"/>
      <c r="Z811" s="6"/>
      <c r="AA811" s="1"/>
      <c r="AB811" s="1"/>
      <c r="AC811" s="1"/>
    </row>
    <row r="812" ht="51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4"/>
      <c r="X812" s="5"/>
      <c r="Y812" s="5"/>
      <c r="Z812" s="6"/>
      <c r="AA812" s="1"/>
      <c r="AB812" s="1"/>
      <c r="AC812" s="1"/>
    </row>
    <row r="813" ht="51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4"/>
      <c r="X813" s="5"/>
      <c r="Y813" s="5"/>
      <c r="Z813" s="6"/>
      <c r="AA813" s="1"/>
      <c r="AB813" s="1"/>
      <c r="AC813" s="1"/>
    </row>
    <row r="814" ht="51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4"/>
      <c r="X814" s="5"/>
      <c r="Y814" s="5"/>
      <c r="Z814" s="6"/>
      <c r="AA814" s="1"/>
      <c r="AB814" s="1"/>
      <c r="AC814" s="1"/>
    </row>
    <row r="815" ht="51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4"/>
      <c r="X815" s="5"/>
      <c r="Y815" s="5"/>
      <c r="Z815" s="6"/>
      <c r="AA815" s="1"/>
      <c r="AB815" s="1"/>
      <c r="AC815" s="1"/>
    </row>
    <row r="816" ht="51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4"/>
      <c r="X816" s="5"/>
      <c r="Y816" s="5"/>
      <c r="Z816" s="6"/>
      <c r="AA816" s="1"/>
      <c r="AB816" s="1"/>
      <c r="AC816" s="1"/>
    </row>
    <row r="817" ht="51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4"/>
      <c r="X817" s="5"/>
      <c r="Y817" s="5"/>
      <c r="Z817" s="6"/>
      <c r="AA817" s="1"/>
      <c r="AB817" s="1"/>
      <c r="AC817" s="1"/>
    </row>
    <row r="818" ht="51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4"/>
      <c r="X818" s="5"/>
      <c r="Y818" s="5"/>
      <c r="Z818" s="6"/>
      <c r="AA818" s="1"/>
      <c r="AB818" s="1"/>
      <c r="AC818" s="1"/>
    </row>
    <row r="819" ht="51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4"/>
      <c r="X819" s="5"/>
      <c r="Y819" s="5"/>
      <c r="Z819" s="6"/>
      <c r="AA819" s="1"/>
      <c r="AB819" s="1"/>
      <c r="AC819" s="1"/>
    </row>
    <row r="820" ht="51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4"/>
      <c r="X820" s="5"/>
      <c r="Y820" s="5"/>
      <c r="Z820" s="6"/>
      <c r="AA820" s="1"/>
      <c r="AB820" s="1"/>
      <c r="AC820" s="1"/>
    </row>
    <row r="821" ht="51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4"/>
      <c r="X821" s="5"/>
      <c r="Y821" s="5"/>
      <c r="Z821" s="6"/>
      <c r="AA821" s="1"/>
      <c r="AB821" s="1"/>
      <c r="AC821" s="1"/>
    </row>
    <row r="822" ht="51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4"/>
      <c r="X822" s="5"/>
      <c r="Y822" s="5"/>
      <c r="Z822" s="6"/>
      <c r="AA822" s="1"/>
      <c r="AB822" s="1"/>
      <c r="AC822" s="1"/>
    </row>
    <row r="823" ht="51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4"/>
      <c r="X823" s="5"/>
      <c r="Y823" s="5"/>
      <c r="Z823" s="6"/>
      <c r="AA823" s="1"/>
      <c r="AB823" s="1"/>
      <c r="AC823" s="1"/>
    </row>
    <row r="824" ht="51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4"/>
      <c r="X824" s="5"/>
      <c r="Y824" s="5"/>
      <c r="Z824" s="6"/>
      <c r="AA824" s="1"/>
      <c r="AB824" s="1"/>
      <c r="AC824" s="1"/>
    </row>
    <row r="825" ht="51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4"/>
      <c r="X825" s="5"/>
      <c r="Y825" s="5"/>
      <c r="Z825" s="6"/>
      <c r="AA825" s="1"/>
      <c r="AB825" s="1"/>
      <c r="AC825" s="1"/>
    </row>
    <row r="826" ht="51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4"/>
      <c r="X826" s="5"/>
      <c r="Y826" s="5"/>
      <c r="Z826" s="6"/>
      <c r="AA826" s="1"/>
      <c r="AB826" s="1"/>
      <c r="AC826" s="1"/>
    </row>
    <row r="827" ht="51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4"/>
      <c r="X827" s="5"/>
      <c r="Y827" s="5"/>
      <c r="Z827" s="6"/>
      <c r="AA827" s="1"/>
      <c r="AB827" s="1"/>
      <c r="AC827" s="1"/>
    </row>
    <row r="828" ht="51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4"/>
      <c r="X828" s="5"/>
      <c r="Y828" s="5"/>
      <c r="Z828" s="6"/>
      <c r="AA828" s="1"/>
      <c r="AB828" s="1"/>
      <c r="AC828" s="1"/>
    </row>
    <row r="829" ht="51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4"/>
      <c r="X829" s="5"/>
      <c r="Y829" s="5"/>
      <c r="Z829" s="6"/>
      <c r="AA829" s="1"/>
      <c r="AB829" s="1"/>
      <c r="AC829" s="1"/>
    </row>
    <row r="830" ht="51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4"/>
      <c r="X830" s="5"/>
      <c r="Y830" s="5"/>
      <c r="Z830" s="6"/>
      <c r="AA830" s="1"/>
      <c r="AB830" s="1"/>
      <c r="AC830" s="1"/>
    </row>
    <row r="831" ht="51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4"/>
      <c r="X831" s="5"/>
      <c r="Y831" s="5"/>
      <c r="Z831" s="6"/>
      <c r="AA831" s="1"/>
      <c r="AB831" s="1"/>
      <c r="AC831" s="1"/>
    </row>
    <row r="832" ht="51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4"/>
      <c r="X832" s="5"/>
      <c r="Y832" s="5"/>
      <c r="Z832" s="6"/>
      <c r="AA832" s="1"/>
      <c r="AB832" s="1"/>
      <c r="AC832" s="1"/>
    </row>
    <row r="833" ht="51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4"/>
      <c r="X833" s="5"/>
      <c r="Y833" s="5"/>
      <c r="Z833" s="6"/>
      <c r="AA833" s="1"/>
      <c r="AB833" s="1"/>
      <c r="AC833" s="1"/>
    </row>
    <row r="834" ht="51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4"/>
      <c r="X834" s="5"/>
      <c r="Y834" s="5"/>
      <c r="Z834" s="6"/>
      <c r="AA834" s="1"/>
      <c r="AB834" s="1"/>
      <c r="AC834" s="1"/>
    </row>
    <row r="835" ht="51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4"/>
      <c r="X835" s="5"/>
      <c r="Y835" s="5"/>
      <c r="Z835" s="6"/>
      <c r="AA835" s="1"/>
      <c r="AB835" s="1"/>
      <c r="AC835" s="1"/>
    </row>
    <row r="836" ht="51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4"/>
      <c r="X836" s="5"/>
      <c r="Y836" s="5"/>
      <c r="Z836" s="6"/>
      <c r="AA836" s="1"/>
      <c r="AB836" s="1"/>
      <c r="AC836" s="1"/>
    </row>
    <row r="837" ht="51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4"/>
      <c r="X837" s="5"/>
      <c r="Y837" s="5"/>
      <c r="Z837" s="6"/>
      <c r="AA837" s="1"/>
      <c r="AB837" s="1"/>
      <c r="AC837" s="1"/>
    </row>
    <row r="838" ht="51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4"/>
      <c r="X838" s="5"/>
      <c r="Y838" s="5"/>
      <c r="Z838" s="6"/>
      <c r="AA838" s="1"/>
      <c r="AB838" s="1"/>
      <c r="AC838" s="1"/>
    </row>
    <row r="839" ht="51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4"/>
      <c r="X839" s="5"/>
      <c r="Y839" s="5"/>
      <c r="Z839" s="6"/>
      <c r="AA839" s="1"/>
      <c r="AB839" s="1"/>
      <c r="AC839" s="1"/>
    </row>
    <row r="840" ht="51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4"/>
      <c r="X840" s="5"/>
      <c r="Y840" s="5"/>
      <c r="Z840" s="6"/>
      <c r="AA840" s="1"/>
      <c r="AB840" s="1"/>
      <c r="AC840" s="1"/>
    </row>
    <row r="841" ht="51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4"/>
      <c r="X841" s="5"/>
      <c r="Y841" s="5"/>
      <c r="Z841" s="6"/>
      <c r="AA841" s="1"/>
      <c r="AB841" s="1"/>
      <c r="AC841" s="1"/>
    </row>
    <row r="842" ht="51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4"/>
      <c r="X842" s="5"/>
      <c r="Y842" s="5"/>
      <c r="Z842" s="6"/>
      <c r="AA842" s="1"/>
      <c r="AB842" s="1"/>
      <c r="AC842" s="1"/>
    </row>
    <row r="843" ht="51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4"/>
      <c r="X843" s="5"/>
      <c r="Y843" s="5"/>
      <c r="Z843" s="6"/>
      <c r="AA843" s="1"/>
      <c r="AB843" s="1"/>
      <c r="AC843" s="1"/>
    </row>
    <row r="844" ht="51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4"/>
      <c r="X844" s="5"/>
      <c r="Y844" s="5"/>
      <c r="Z844" s="6"/>
      <c r="AA844" s="1"/>
      <c r="AB844" s="1"/>
      <c r="AC844" s="1"/>
    </row>
    <row r="845" ht="51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4"/>
      <c r="X845" s="5"/>
      <c r="Y845" s="5"/>
      <c r="Z845" s="6"/>
      <c r="AA845" s="1"/>
      <c r="AB845" s="1"/>
      <c r="AC845" s="1"/>
    </row>
    <row r="846" ht="51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4"/>
      <c r="X846" s="5"/>
      <c r="Y846" s="5"/>
      <c r="Z846" s="6"/>
      <c r="AA846" s="1"/>
      <c r="AB846" s="1"/>
      <c r="AC846" s="1"/>
    </row>
    <row r="847" ht="51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4"/>
      <c r="X847" s="5"/>
      <c r="Y847" s="5"/>
      <c r="Z847" s="6"/>
      <c r="AA847" s="1"/>
      <c r="AB847" s="1"/>
      <c r="AC847" s="1"/>
    </row>
    <row r="848" ht="51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4"/>
      <c r="X848" s="5"/>
      <c r="Y848" s="5"/>
      <c r="Z848" s="6"/>
      <c r="AA848" s="1"/>
      <c r="AB848" s="1"/>
      <c r="AC848" s="1"/>
    </row>
    <row r="849" ht="51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4"/>
      <c r="X849" s="5"/>
      <c r="Y849" s="5"/>
      <c r="Z849" s="6"/>
      <c r="AA849" s="1"/>
      <c r="AB849" s="1"/>
      <c r="AC849" s="1"/>
    </row>
    <row r="850" ht="51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4"/>
      <c r="X850" s="5"/>
      <c r="Y850" s="5"/>
      <c r="Z850" s="6"/>
      <c r="AA850" s="1"/>
      <c r="AB850" s="1"/>
      <c r="AC850" s="1"/>
    </row>
    <row r="851" ht="51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4"/>
      <c r="X851" s="5"/>
      <c r="Y851" s="5"/>
      <c r="Z851" s="6"/>
      <c r="AA851" s="1"/>
      <c r="AB851" s="1"/>
      <c r="AC851" s="1"/>
    </row>
    <row r="852" ht="51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4"/>
      <c r="X852" s="5"/>
      <c r="Y852" s="5"/>
      <c r="Z852" s="6"/>
      <c r="AA852" s="1"/>
      <c r="AB852" s="1"/>
      <c r="AC852" s="1"/>
    </row>
    <row r="853" ht="51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4"/>
      <c r="X853" s="5"/>
      <c r="Y853" s="5"/>
      <c r="Z853" s="6"/>
      <c r="AA853" s="1"/>
      <c r="AB853" s="1"/>
      <c r="AC853" s="1"/>
    </row>
    <row r="854" ht="51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4"/>
      <c r="X854" s="5"/>
      <c r="Y854" s="5"/>
      <c r="Z854" s="6"/>
      <c r="AA854" s="1"/>
      <c r="AB854" s="1"/>
      <c r="AC854" s="1"/>
    </row>
    <row r="855" ht="51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4"/>
      <c r="X855" s="5"/>
      <c r="Y855" s="5"/>
      <c r="Z855" s="6"/>
      <c r="AA855" s="1"/>
      <c r="AB855" s="1"/>
      <c r="AC855" s="1"/>
    </row>
    <row r="856" ht="51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4"/>
      <c r="X856" s="5"/>
      <c r="Y856" s="5"/>
      <c r="Z856" s="6"/>
      <c r="AA856" s="1"/>
      <c r="AB856" s="1"/>
      <c r="AC856" s="1"/>
    </row>
    <row r="857" ht="51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4"/>
      <c r="X857" s="5"/>
      <c r="Y857" s="5"/>
      <c r="Z857" s="6"/>
      <c r="AA857" s="1"/>
      <c r="AB857" s="1"/>
      <c r="AC857" s="1"/>
    </row>
    <row r="858" ht="51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4"/>
      <c r="X858" s="5"/>
      <c r="Y858" s="5"/>
      <c r="Z858" s="6"/>
      <c r="AA858" s="1"/>
      <c r="AB858" s="1"/>
      <c r="AC858" s="1"/>
    </row>
    <row r="859" ht="51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4"/>
      <c r="X859" s="5"/>
      <c r="Y859" s="5"/>
      <c r="Z859" s="6"/>
      <c r="AA859" s="1"/>
      <c r="AB859" s="1"/>
      <c r="AC859" s="1"/>
    </row>
    <row r="860" ht="51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4"/>
      <c r="X860" s="5"/>
      <c r="Y860" s="5"/>
      <c r="Z860" s="6"/>
      <c r="AA860" s="1"/>
      <c r="AB860" s="1"/>
      <c r="AC860" s="1"/>
    </row>
    <row r="861" ht="51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4"/>
      <c r="X861" s="5"/>
      <c r="Y861" s="5"/>
      <c r="Z861" s="6"/>
      <c r="AA861" s="1"/>
      <c r="AB861" s="1"/>
      <c r="AC861" s="1"/>
    </row>
    <row r="862" ht="51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4"/>
      <c r="X862" s="5"/>
      <c r="Y862" s="5"/>
      <c r="Z862" s="6"/>
      <c r="AA862" s="1"/>
      <c r="AB862" s="1"/>
      <c r="AC862" s="1"/>
    </row>
    <row r="863" ht="51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4"/>
      <c r="X863" s="5"/>
      <c r="Y863" s="5"/>
      <c r="Z863" s="6"/>
      <c r="AA863" s="1"/>
      <c r="AB863" s="1"/>
      <c r="AC863" s="1"/>
    </row>
    <row r="864" ht="51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4"/>
      <c r="X864" s="5"/>
      <c r="Y864" s="5"/>
      <c r="Z864" s="6"/>
      <c r="AA864" s="1"/>
      <c r="AB864" s="1"/>
      <c r="AC864" s="1"/>
    </row>
    <row r="865" ht="51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4"/>
      <c r="X865" s="5"/>
      <c r="Y865" s="5"/>
      <c r="Z865" s="6"/>
      <c r="AA865" s="1"/>
      <c r="AB865" s="1"/>
      <c r="AC865" s="1"/>
    </row>
    <row r="866" ht="51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4"/>
      <c r="X866" s="5"/>
      <c r="Y866" s="5"/>
      <c r="Z866" s="6"/>
      <c r="AA866" s="1"/>
      <c r="AB866" s="1"/>
      <c r="AC866" s="1"/>
    </row>
    <row r="867" ht="51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4"/>
      <c r="X867" s="5"/>
      <c r="Y867" s="5"/>
      <c r="Z867" s="6"/>
      <c r="AA867" s="1"/>
      <c r="AB867" s="1"/>
      <c r="AC867" s="1"/>
    </row>
    <row r="868" ht="51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4"/>
      <c r="X868" s="5"/>
      <c r="Y868" s="5"/>
      <c r="Z868" s="6"/>
      <c r="AA868" s="1"/>
      <c r="AB868" s="1"/>
      <c r="AC868" s="1"/>
    </row>
    <row r="869" ht="51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4"/>
      <c r="X869" s="5"/>
      <c r="Y869" s="5"/>
      <c r="Z869" s="6"/>
      <c r="AA869" s="1"/>
      <c r="AB869" s="1"/>
      <c r="AC869" s="1"/>
    </row>
    <row r="870" ht="51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4"/>
      <c r="X870" s="5"/>
      <c r="Y870" s="5"/>
      <c r="Z870" s="6"/>
      <c r="AA870" s="1"/>
      <c r="AB870" s="1"/>
      <c r="AC870" s="1"/>
    </row>
    <row r="871" ht="51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4"/>
      <c r="X871" s="5"/>
      <c r="Y871" s="5"/>
      <c r="Z871" s="6"/>
      <c r="AA871" s="1"/>
      <c r="AB871" s="1"/>
      <c r="AC871" s="1"/>
    </row>
    <row r="872" ht="51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4"/>
      <c r="X872" s="5"/>
      <c r="Y872" s="5"/>
      <c r="Z872" s="6"/>
      <c r="AA872" s="1"/>
      <c r="AB872" s="1"/>
      <c r="AC872" s="1"/>
    </row>
    <row r="873" ht="51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4"/>
      <c r="X873" s="5"/>
      <c r="Y873" s="5"/>
      <c r="Z873" s="6"/>
      <c r="AA873" s="1"/>
      <c r="AB873" s="1"/>
      <c r="AC873" s="1"/>
    </row>
    <row r="874" ht="51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4"/>
      <c r="X874" s="5"/>
      <c r="Y874" s="5"/>
      <c r="Z874" s="6"/>
      <c r="AA874" s="1"/>
      <c r="AB874" s="1"/>
      <c r="AC874" s="1"/>
    </row>
    <row r="875" ht="51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4"/>
      <c r="X875" s="5"/>
      <c r="Y875" s="5"/>
      <c r="Z875" s="6"/>
      <c r="AA875" s="1"/>
      <c r="AB875" s="1"/>
      <c r="AC875" s="1"/>
    </row>
    <row r="876" ht="51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4"/>
      <c r="X876" s="5"/>
      <c r="Y876" s="5"/>
      <c r="Z876" s="6"/>
      <c r="AA876" s="1"/>
      <c r="AB876" s="1"/>
      <c r="AC876" s="1"/>
    </row>
    <row r="877" ht="51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4"/>
      <c r="X877" s="5"/>
      <c r="Y877" s="5"/>
      <c r="Z877" s="6"/>
      <c r="AA877" s="1"/>
      <c r="AB877" s="1"/>
      <c r="AC877" s="1"/>
    </row>
    <row r="878" ht="51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4"/>
      <c r="X878" s="5"/>
      <c r="Y878" s="5"/>
      <c r="Z878" s="6"/>
      <c r="AA878" s="1"/>
      <c r="AB878" s="1"/>
      <c r="AC878" s="1"/>
    </row>
    <row r="879" ht="51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4"/>
      <c r="X879" s="5"/>
      <c r="Y879" s="5"/>
      <c r="Z879" s="6"/>
      <c r="AA879" s="1"/>
      <c r="AB879" s="1"/>
      <c r="AC879" s="1"/>
    </row>
    <row r="880" ht="51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4"/>
      <c r="X880" s="5"/>
      <c r="Y880" s="5"/>
      <c r="Z880" s="6"/>
      <c r="AA880" s="1"/>
      <c r="AB880" s="1"/>
      <c r="AC880" s="1"/>
    </row>
    <row r="881" ht="51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4"/>
      <c r="X881" s="5"/>
      <c r="Y881" s="5"/>
      <c r="Z881" s="6"/>
      <c r="AA881" s="1"/>
      <c r="AB881" s="1"/>
      <c r="AC881" s="1"/>
    </row>
    <row r="882" ht="51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4"/>
      <c r="X882" s="5"/>
      <c r="Y882" s="5"/>
      <c r="Z882" s="6"/>
      <c r="AA882" s="1"/>
      <c r="AB882" s="1"/>
      <c r="AC882" s="1"/>
    </row>
    <row r="883" ht="51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4"/>
      <c r="X883" s="5"/>
      <c r="Y883" s="5"/>
      <c r="Z883" s="6"/>
      <c r="AA883" s="1"/>
      <c r="AB883" s="1"/>
      <c r="AC883" s="1"/>
    </row>
    <row r="884" ht="51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4"/>
      <c r="X884" s="5"/>
      <c r="Y884" s="5"/>
      <c r="Z884" s="6"/>
      <c r="AA884" s="1"/>
      <c r="AB884" s="1"/>
      <c r="AC884" s="1"/>
    </row>
    <row r="885" ht="51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4"/>
      <c r="X885" s="5"/>
      <c r="Y885" s="5"/>
      <c r="Z885" s="6"/>
      <c r="AA885" s="1"/>
      <c r="AB885" s="1"/>
      <c r="AC885" s="1"/>
    </row>
    <row r="886" ht="51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4"/>
      <c r="X886" s="5"/>
      <c r="Y886" s="5"/>
      <c r="Z886" s="6"/>
      <c r="AA886" s="1"/>
      <c r="AB886" s="1"/>
      <c r="AC886" s="1"/>
    </row>
    <row r="887" ht="51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4"/>
      <c r="X887" s="5"/>
      <c r="Y887" s="5"/>
      <c r="Z887" s="6"/>
      <c r="AA887" s="1"/>
      <c r="AB887" s="1"/>
      <c r="AC887" s="1"/>
    </row>
    <row r="888" ht="51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4"/>
      <c r="X888" s="5"/>
      <c r="Y888" s="5"/>
      <c r="Z888" s="6"/>
      <c r="AA888" s="1"/>
      <c r="AB888" s="1"/>
      <c r="AC888" s="1"/>
    </row>
    <row r="889" ht="51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4"/>
      <c r="X889" s="5"/>
      <c r="Y889" s="5"/>
      <c r="Z889" s="6"/>
      <c r="AA889" s="1"/>
      <c r="AB889" s="1"/>
      <c r="AC889" s="1"/>
    </row>
    <row r="890" ht="51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4"/>
      <c r="X890" s="5"/>
      <c r="Y890" s="5"/>
      <c r="Z890" s="6"/>
      <c r="AA890" s="1"/>
      <c r="AB890" s="1"/>
      <c r="AC890" s="1"/>
    </row>
    <row r="891" ht="51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4"/>
      <c r="X891" s="5"/>
      <c r="Y891" s="5"/>
      <c r="Z891" s="6"/>
      <c r="AA891" s="1"/>
      <c r="AB891" s="1"/>
      <c r="AC891" s="1"/>
    </row>
    <row r="892" ht="51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4"/>
      <c r="X892" s="5"/>
      <c r="Y892" s="5"/>
      <c r="Z892" s="6"/>
      <c r="AA892" s="1"/>
      <c r="AB892" s="1"/>
      <c r="AC892" s="1"/>
    </row>
    <row r="893" ht="51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4"/>
      <c r="X893" s="5"/>
      <c r="Y893" s="5"/>
      <c r="Z893" s="6"/>
      <c r="AA893" s="1"/>
      <c r="AB893" s="1"/>
      <c r="AC893" s="1"/>
    </row>
    <row r="894" ht="51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4"/>
      <c r="X894" s="5"/>
      <c r="Y894" s="5"/>
      <c r="Z894" s="6"/>
      <c r="AA894" s="1"/>
      <c r="AB894" s="1"/>
      <c r="AC894" s="1"/>
    </row>
    <row r="895" ht="51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4"/>
      <c r="X895" s="5"/>
      <c r="Y895" s="5"/>
      <c r="Z895" s="6"/>
      <c r="AA895" s="1"/>
      <c r="AB895" s="1"/>
      <c r="AC895" s="1"/>
    </row>
    <row r="896" ht="51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4"/>
      <c r="X896" s="5"/>
      <c r="Y896" s="5"/>
      <c r="Z896" s="6"/>
      <c r="AA896" s="1"/>
      <c r="AB896" s="1"/>
      <c r="AC896" s="1"/>
    </row>
    <row r="897" ht="51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4"/>
      <c r="X897" s="5"/>
      <c r="Y897" s="5"/>
      <c r="Z897" s="6"/>
      <c r="AA897" s="1"/>
      <c r="AB897" s="1"/>
      <c r="AC897" s="1"/>
    </row>
    <row r="898" ht="51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4"/>
      <c r="X898" s="5"/>
      <c r="Y898" s="5"/>
      <c r="Z898" s="6"/>
      <c r="AA898" s="1"/>
      <c r="AB898" s="1"/>
      <c r="AC898" s="1"/>
    </row>
    <row r="899" ht="51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4"/>
      <c r="X899" s="5"/>
      <c r="Y899" s="5"/>
      <c r="Z899" s="6"/>
      <c r="AA899" s="1"/>
      <c r="AB899" s="1"/>
      <c r="AC899" s="1"/>
    </row>
    <row r="900" ht="51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4"/>
      <c r="X900" s="5"/>
      <c r="Y900" s="5"/>
      <c r="Z900" s="6"/>
      <c r="AA900" s="1"/>
      <c r="AB900" s="1"/>
      <c r="AC900" s="1"/>
    </row>
    <row r="901" ht="51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4"/>
      <c r="X901" s="5"/>
      <c r="Y901" s="5"/>
      <c r="Z901" s="6"/>
      <c r="AA901" s="1"/>
      <c r="AB901" s="1"/>
      <c r="AC901" s="1"/>
    </row>
    <row r="902" ht="51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4"/>
      <c r="X902" s="5"/>
      <c r="Y902" s="5"/>
      <c r="Z902" s="6"/>
      <c r="AA902" s="1"/>
      <c r="AB902" s="1"/>
      <c r="AC902" s="1"/>
    </row>
    <row r="903" ht="51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4"/>
      <c r="X903" s="5"/>
      <c r="Y903" s="5"/>
      <c r="Z903" s="6"/>
      <c r="AA903" s="1"/>
      <c r="AB903" s="1"/>
      <c r="AC903" s="1"/>
    </row>
    <row r="904" ht="51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4"/>
      <c r="X904" s="5"/>
      <c r="Y904" s="5"/>
      <c r="Z904" s="6"/>
      <c r="AA904" s="1"/>
      <c r="AB904" s="1"/>
      <c r="AC904" s="1"/>
    </row>
    <row r="905" ht="51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4"/>
      <c r="X905" s="5"/>
      <c r="Y905" s="5"/>
      <c r="Z905" s="6"/>
      <c r="AA905" s="1"/>
      <c r="AB905" s="1"/>
      <c r="AC905" s="1"/>
    </row>
    <row r="906" ht="51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4"/>
      <c r="X906" s="5"/>
      <c r="Y906" s="5"/>
      <c r="Z906" s="6"/>
      <c r="AA906" s="1"/>
      <c r="AB906" s="1"/>
      <c r="AC906" s="1"/>
    </row>
    <row r="907" ht="51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4"/>
      <c r="X907" s="5"/>
      <c r="Y907" s="5"/>
      <c r="Z907" s="6"/>
      <c r="AA907" s="1"/>
      <c r="AB907" s="1"/>
      <c r="AC907" s="1"/>
    </row>
    <row r="908" ht="51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4"/>
      <c r="X908" s="5"/>
      <c r="Y908" s="5"/>
      <c r="Z908" s="6"/>
      <c r="AA908" s="1"/>
      <c r="AB908" s="1"/>
      <c r="AC908" s="1"/>
    </row>
    <row r="909" ht="51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4"/>
      <c r="X909" s="5"/>
      <c r="Y909" s="5"/>
      <c r="Z909" s="6"/>
      <c r="AA909" s="1"/>
      <c r="AB909" s="1"/>
      <c r="AC909" s="1"/>
    </row>
    <row r="910" ht="51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4"/>
      <c r="X910" s="5"/>
      <c r="Y910" s="5"/>
      <c r="Z910" s="6"/>
      <c r="AA910" s="1"/>
      <c r="AB910" s="1"/>
      <c r="AC910" s="1"/>
    </row>
    <row r="911" ht="51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4"/>
      <c r="X911" s="5"/>
      <c r="Y911" s="5"/>
      <c r="Z911" s="6"/>
      <c r="AA911" s="1"/>
      <c r="AB911" s="1"/>
      <c r="AC911" s="1"/>
    </row>
    <row r="912" ht="51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4"/>
      <c r="X912" s="5"/>
      <c r="Y912" s="5"/>
      <c r="Z912" s="6"/>
      <c r="AA912" s="1"/>
      <c r="AB912" s="1"/>
      <c r="AC912" s="1"/>
    </row>
    <row r="913" ht="51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4"/>
      <c r="X913" s="5"/>
      <c r="Y913" s="5"/>
      <c r="Z913" s="6"/>
      <c r="AA913" s="1"/>
      <c r="AB913" s="1"/>
      <c r="AC913" s="1"/>
    </row>
    <row r="914" ht="51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4"/>
      <c r="X914" s="5"/>
      <c r="Y914" s="5"/>
      <c r="Z914" s="6"/>
      <c r="AA914" s="1"/>
      <c r="AB914" s="1"/>
      <c r="AC914" s="1"/>
    </row>
    <row r="915" ht="51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4"/>
      <c r="X915" s="5"/>
      <c r="Y915" s="5"/>
      <c r="Z915" s="6"/>
      <c r="AA915" s="1"/>
      <c r="AB915" s="1"/>
      <c r="AC915" s="1"/>
    </row>
    <row r="916" ht="51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4"/>
      <c r="X916" s="5"/>
      <c r="Y916" s="5"/>
      <c r="Z916" s="6"/>
      <c r="AA916" s="1"/>
      <c r="AB916" s="1"/>
      <c r="AC916" s="1"/>
    </row>
    <row r="917" ht="51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4"/>
      <c r="X917" s="5"/>
      <c r="Y917" s="5"/>
      <c r="Z917" s="6"/>
      <c r="AA917" s="1"/>
      <c r="AB917" s="1"/>
      <c r="AC917" s="1"/>
    </row>
    <row r="918" ht="51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4"/>
      <c r="X918" s="5"/>
      <c r="Y918" s="5"/>
      <c r="Z918" s="6"/>
      <c r="AA918" s="1"/>
      <c r="AB918" s="1"/>
      <c r="AC918" s="1"/>
    </row>
    <row r="919" ht="51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4"/>
      <c r="X919" s="5"/>
      <c r="Y919" s="5"/>
      <c r="Z919" s="6"/>
      <c r="AA919" s="1"/>
      <c r="AB919" s="1"/>
      <c r="AC919" s="1"/>
    </row>
    <row r="920" ht="51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4"/>
      <c r="X920" s="5"/>
      <c r="Y920" s="5"/>
      <c r="Z920" s="6"/>
      <c r="AA920" s="1"/>
      <c r="AB920" s="1"/>
      <c r="AC920" s="1"/>
    </row>
    <row r="921" ht="51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4"/>
      <c r="X921" s="5"/>
      <c r="Y921" s="5"/>
      <c r="Z921" s="6"/>
      <c r="AA921" s="1"/>
      <c r="AB921" s="1"/>
      <c r="AC921" s="1"/>
    </row>
    <row r="922" ht="51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4"/>
      <c r="X922" s="5"/>
      <c r="Y922" s="5"/>
      <c r="Z922" s="6"/>
      <c r="AA922" s="1"/>
      <c r="AB922" s="1"/>
      <c r="AC922" s="1"/>
    </row>
    <row r="923" ht="51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4"/>
      <c r="X923" s="5"/>
      <c r="Y923" s="5"/>
      <c r="Z923" s="6"/>
      <c r="AA923" s="1"/>
      <c r="AB923" s="1"/>
      <c r="AC923" s="1"/>
    </row>
    <row r="924" ht="51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4"/>
      <c r="X924" s="5"/>
      <c r="Y924" s="5"/>
      <c r="Z924" s="6"/>
      <c r="AA924" s="1"/>
      <c r="AB924" s="1"/>
      <c r="AC924" s="1"/>
    </row>
    <row r="925" ht="51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4"/>
      <c r="X925" s="5"/>
      <c r="Y925" s="5"/>
      <c r="Z925" s="6"/>
      <c r="AA925" s="1"/>
      <c r="AB925" s="1"/>
      <c r="AC925" s="1"/>
    </row>
    <row r="926" ht="51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4"/>
      <c r="X926" s="5"/>
      <c r="Y926" s="5"/>
      <c r="Z926" s="6"/>
      <c r="AA926" s="1"/>
      <c r="AB926" s="1"/>
      <c r="AC926" s="1"/>
    </row>
    <row r="927" ht="51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4"/>
      <c r="X927" s="5"/>
      <c r="Y927" s="5"/>
      <c r="Z927" s="6"/>
      <c r="AA927" s="1"/>
      <c r="AB927" s="1"/>
      <c r="AC927" s="1"/>
    </row>
    <row r="928" ht="51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4"/>
      <c r="X928" s="5"/>
      <c r="Y928" s="5"/>
      <c r="Z928" s="6"/>
      <c r="AA928" s="1"/>
      <c r="AB928" s="1"/>
      <c r="AC928" s="1"/>
    </row>
    <row r="929" ht="51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4"/>
      <c r="X929" s="5"/>
      <c r="Y929" s="5"/>
      <c r="Z929" s="6"/>
      <c r="AA929" s="1"/>
      <c r="AB929" s="1"/>
      <c r="AC929" s="1"/>
    </row>
    <row r="930" ht="51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4"/>
      <c r="X930" s="5"/>
      <c r="Y930" s="5"/>
      <c r="Z930" s="6"/>
      <c r="AA930" s="1"/>
      <c r="AB930" s="1"/>
      <c r="AC930" s="1"/>
    </row>
    <row r="931" ht="51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4"/>
      <c r="X931" s="5"/>
      <c r="Y931" s="5"/>
      <c r="Z931" s="6"/>
      <c r="AA931" s="1"/>
      <c r="AB931" s="1"/>
      <c r="AC931" s="1"/>
    </row>
    <row r="932" ht="51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4"/>
      <c r="X932" s="5"/>
      <c r="Y932" s="5"/>
      <c r="Z932" s="6"/>
      <c r="AA932" s="1"/>
      <c r="AB932" s="1"/>
      <c r="AC932" s="1"/>
    </row>
    <row r="933" ht="51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4"/>
      <c r="X933" s="5"/>
      <c r="Y933" s="5"/>
      <c r="Z933" s="6"/>
      <c r="AA933" s="1"/>
      <c r="AB933" s="1"/>
      <c r="AC933" s="1"/>
    </row>
    <row r="934" ht="51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4"/>
      <c r="X934" s="5"/>
      <c r="Y934" s="5"/>
      <c r="Z934" s="6"/>
      <c r="AA934" s="1"/>
      <c r="AB934" s="1"/>
      <c r="AC934" s="1"/>
    </row>
    <row r="935" ht="51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4"/>
      <c r="X935" s="5"/>
      <c r="Y935" s="5"/>
      <c r="Z935" s="6"/>
      <c r="AA935" s="1"/>
      <c r="AB935" s="1"/>
      <c r="AC935" s="1"/>
    </row>
    <row r="936" ht="51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4"/>
      <c r="X936" s="5"/>
      <c r="Y936" s="5"/>
      <c r="Z936" s="6"/>
      <c r="AA936" s="1"/>
      <c r="AB936" s="1"/>
      <c r="AC936" s="1"/>
    </row>
    <row r="937" ht="51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4"/>
      <c r="X937" s="5"/>
      <c r="Y937" s="5"/>
      <c r="Z937" s="6"/>
      <c r="AA937" s="1"/>
      <c r="AB937" s="1"/>
      <c r="AC937" s="1"/>
    </row>
    <row r="938" ht="51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4"/>
      <c r="X938" s="5"/>
      <c r="Y938" s="5"/>
      <c r="Z938" s="6"/>
      <c r="AA938" s="1"/>
      <c r="AB938" s="1"/>
      <c r="AC938" s="1"/>
    </row>
    <row r="939" ht="51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4"/>
      <c r="X939" s="5"/>
      <c r="Y939" s="5"/>
      <c r="Z939" s="6"/>
      <c r="AA939" s="1"/>
      <c r="AB939" s="1"/>
      <c r="AC939" s="1"/>
    </row>
    <row r="940" ht="51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4"/>
      <c r="X940" s="5"/>
      <c r="Y940" s="5"/>
      <c r="Z940" s="6"/>
      <c r="AA940" s="1"/>
      <c r="AB940" s="1"/>
      <c r="AC940" s="1"/>
    </row>
    <row r="941" ht="51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4"/>
      <c r="X941" s="5"/>
      <c r="Y941" s="5"/>
      <c r="Z941" s="6"/>
      <c r="AA941" s="1"/>
      <c r="AB941" s="1"/>
      <c r="AC941" s="1"/>
    </row>
    <row r="942" ht="51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4"/>
      <c r="X942" s="5"/>
      <c r="Y942" s="5"/>
      <c r="Z942" s="6"/>
      <c r="AA942" s="1"/>
      <c r="AB942" s="1"/>
      <c r="AC942" s="1"/>
    </row>
    <row r="943" ht="51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4"/>
      <c r="X943" s="5"/>
      <c r="Y943" s="5"/>
      <c r="Z943" s="6"/>
      <c r="AA943" s="1"/>
      <c r="AB943" s="1"/>
      <c r="AC943" s="1"/>
    </row>
    <row r="944" ht="51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4"/>
      <c r="X944" s="5"/>
      <c r="Y944" s="5"/>
      <c r="Z944" s="6"/>
      <c r="AA944" s="1"/>
      <c r="AB944" s="1"/>
      <c r="AC944" s="1"/>
    </row>
    <row r="945" ht="51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4"/>
      <c r="X945" s="5"/>
      <c r="Y945" s="5"/>
      <c r="Z945" s="6"/>
      <c r="AA945" s="1"/>
      <c r="AB945" s="1"/>
      <c r="AC945" s="1"/>
    </row>
    <row r="946" ht="51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4"/>
      <c r="X946" s="5"/>
      <c r="Y946" s="5"/>
      <c r="Z946" s="6"/>
      <c r="AA946" s="1"/>
      <c r="AB946" s="1"/>
      <c r="AC946" s="1"/>
    </row>
    <row r="947" ht="51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4"/>
      <c r="X947" s="5"/>
      <c r="Y947" s="5"/>
      <c r="Z947" s="6"/>
      <c r="AA947" s="1"/>
      <c r="AB947" s="1"/>
      <c r="AC947" s="1"/>
    </row>
    <row r="948" ht="51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4"/>
      <c r="X948" s="5"/>
      <c r="Y948" s="5"/>
      <c r="Z948" s="6"/>
      <c r="AA948" s="1"/>
      <c r="AB948" s="1"/>
      <c r="AC948" s="1"/>
    </row>
    <row r="949" ht="51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4"/>
      <c r="X949" s="5"/>
      <c r="Y949" s="5"/>
      <c r="Z949" s="6"/>
      <c r="AA949" s="1"/>
      <c r="AB949" s="1"/>
      <c r="AC949" s="1"/>
    </row>
    <row r="950" ht="51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4"/>
      <c r="X950" s="5"/>
      <c r="Y950" s="5"/>
      <c r="Z950" s="6"/>
      <c r="AA950" s="1"/>
      <c r="AB950" s="1"/>
      <c r="AC950" s="1"/>
    </row>
    <row r="951" ht="51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4"/>
      <c r="X951" s="5"/>
      <c r="Y951" s="5"/>
      <c r="Z951" s="6"/>
      <c r="AA951" s="1"/>
      <c r="AB951" s="1"/>
      <c r="AC951" s="1"/>
    </row>
    <row r="952" ht="51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4"/>
      <c r="X952" s="5"/>
      <c r="Y952" s="5"/>
      <c r="Z952" s="6"/>
      <c r="AA952" s="1"/>
      <c r="AB952" s="1"/>
      <c r="AC952" s="1"/>
    </row>
    <row r="953" ht="51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4"/>
      <c r="X953" s="5"/>
      <c r="Y953" s="5"/>
      <c r="Z953" s="6"/>
      <c r="AA953" s="1"/>
      <c r="AB953" s="1"/>
      <c r="AC953" s="1"/>
    </row>
    <row r="954" ht="51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4"/>
      <c r="X954" s="5"/>
      <c r="Y954" s="5"/>
      <c r="Z954" s="6"/>
      <c r="AA954" s="1"/>
      <c r="AB954" s="1"/>
      <c r="AC954" s="1"/>
    </row>
    <row r="955" ht="51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4"/>
      <c r="X955" s="5"/>
      <c r="Y955" s="5"/>
      <c r="Z955" s="6"/>
      <c r="AA955" s="1"/>
      <c r="AB955" s="1"/>
      <c r="AC955" s="1"/>
    </row>
    <row r="956" ht="51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4"/>
      <c r="X956" s="5"/>
      <c r="Y956" s="5"/>
      <c r="Z956" s="6"/>
      <c r="AA956" s="1"/>
      <c r="AB956" s="1"/>
      <c r="AC956" s="1"/>
    </row>
    <row r="957" ht="51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4"/>
      <c r="X957" s="5"/>
      <c r="Y957" s="5"/>
      <c r="Z957" s="6"/>
      <c r="AA957" s="1"/>
      <c r="AB957" s="1"/>
      <c r="AC957" s="1"/>
    </row>
    <row r="958" ht="51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4"/>
      <c r="X958" s="5"/>
      <c r="Y958" s="5"/>
      <c r="Z958" s="6"/>
      <c r="AA958" s="1"/>
      <c r="AB958" s="1"/>
      <c r="AC958" s="1"/>
    </row>
    <row r="959" ht="51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4"/>
      <c r="X959" s="5"/>
      <c r="Y959" s="5"/>
      <c r="Z959" s="6"/>
      <c r="AA959" s="1"/>
      <c r="AB959" s="1"/>
      <c r="AC959" s="1"/>
    </row>
    <row r="960" ht="51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4"/>
      <c r="X960" s="5"/>
      <c r="Y960" s="5"/>
      <c r="Z960" s="6"/>
      <c r="AA960" s="1"/>
      <c r="AB960" s="1"/>
      <c r="AC960" s="1"/>
    </row>
    <row r="961" ht="51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4"/>
      <c r="X961" s="5"/>
      <c r="Y961" s="5"/>
      <c r="Z961" s="6"/>
      <c r="AA961" s="1"/>
      <c r="AB961" s="1"/>
      <c r="AC961" s="1"/>
    </row>
    <row r="962" ht="51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4"/>
      <c r="X962" s="5"/>
      <c r="Y962" s="5"/>
      <c r="Z962" s="6"/>
      <c r="AA962" s="1"/>
      <c r="AB962" s="1"/>
      <c r="AC962" s="1"/>
    </row>
    <row r="963" ht="51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4"/>
      <c r="X963" s="5"/>
      <c r="Y963" s="5"/>
      <c r="Z963" s="6"/>
      <c r="AA963" s="1"/>
      <c r="AB963" s="1"/>
      <c r="AC963" s="1"/>
    </row>
    <row r="964" ht="51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4"/>
      <c r="X964" s="5"/>
      <c r="Y964" s="5"/>
      <c r="Z964" s="6"/>
      <c r="AA964" s="1"/>
      <c r="AB964" s="1"/>
      <c r="AC964" s="1"/>
    </row>
    <row r="965" ht="51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4"/>
      <c r="X965" s="5"/>
      <c r="Y965" s="5"/>
      <c r="Z965" s="6"/>
      <c r="AA965" s="1"/>
      <c r="AB965" s="1"/>
      <c r="AC965" s="1"/>
    </row>
    <row r="966" ht="51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4"/>
      <c r="X966" s="5"/>
      <c r="Y966" s="5"/>
      <c r="Z966" s="6"/>
      <c r="AA966" s="1"/>
      <c r="AB966" s="1"/>
      <c r="AC966" s="1"/>
    </row>
    <row r="967" ht="51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4"/>
      <c r="X967" s="5"/>
      <c r="Y967" s="5"/>
      <c r="Z967" s="6"/>
      <c r="AA967" s="1"/>
      <c r="AB967" s="1"/>
      <c r="AC967" s="1"/>
    </row>
    <row r="968" ht="51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4"/>
      <c r="X968" s="5"/>
      <c r="Y968" s="5"/>
      <c r="Z968" s="6"/>
      <c r="AA968" s="1"/>
      <c r="AB968" s="1"/>
      <c r="AC968" s="1"/>
    </row>
    <row r="969" ht="51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4"/>
      <c r="X969" s="5"/>
      <c r="Y969" s="5"/>
      <c r="Z969" s="6"/>
      <c r="AA969" s="1"/>
      <c r="AB969" s="1"/>
      <c r="AC969" s="1"/>
    </row>
    <row r="970" ht="51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4"/>
      <c r="X970" s="5"/>
      <c r="Y970" s="5"/>
      <c r="Z970" s="6"/>
      <c r="AA970" s="1"/>
      <c r="AB970" s="1"/>
      <c r="AC970" s="1"/>
    </row>
    <row r="971" ht="51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4"/>
      <c r="X971" s="5"/>
      <c r="Y971" s="5"/>
      <c r="Z971" s="6"/>
      <c r="AA971" s="1"/>
      <c r="AB971" s="1"/>
      <c r="AC971" s="1"/>
    </row>
    <row r="972" ht="51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4"/>
      <c r="X972" s="5"/>
      <c r="Y972" s="5"/>
      <c r="Z972" s="6"/>
      <c r="AA972" s="1"/>
      <c r="AB972" s="1"/>
      <c r="AC972" s="1"/>
    </row>
    <row r="973" ht="51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4"/>
      <c r="X973" s="5"/>
      <c r="Y973" s="5"/>
      <c r="Z973" s="6"/>
      <c r="AA973" s="1"/>
      <c r="AB973" s="1"/>
      <c r="AC973" s="1"/>
    </row>
    <row r="974" ht="51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4"/>
      <c r="X974" s="5"/>
      <c r="Y974" s="5"/>
      <c r="Z974" s="6"/>
      <c r="AA974" s="1"/>
      <c r="AB974" s="1"/>
      <c r="AC974" s="1"/>
    </row>
    <row r="975" ht="51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4"/>
      <c r="X975" s="5"/>
      <c r="Y975" s="5"/>
      <c r="Z975" s="6"/>
      <c r="AA975" s="1"/>
      <c r="AB975" s="1"/>
      <c r="AC975" s="1"/>
    </row>
    <row r="976" ht="51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4"/>
      <c r="X976" s="5"/>
      <c r="Y976" s="5"/>
      <c r="Z976" s="6"/>
      <c r="AA976" s="1"/>
      <c r="AB976" s="1"/>
      <c r="AC976" s="1"/>
    </row>
    <row r="977" ht="51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4"/>
      <c r="X977" s="5"/>
      <c r="Y977" s="5"/>
      <c r="Z977" s="6"/>
      <c r="AA977" s="1"/>
      <c r="AB977" s="1"/>
      <c r="AC977" s="1"/>
    </row>
    <row r="978" ht="51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4"/>
      <c r="X978" s="5"/>
      <c r="Y978" s="5"/>
      <c r="Z978" s="6"/>
      <c r="AA978" s="1"/>
      <c r="AB978" s="1"/>
      <c r="AC978" s="1"/>
    </row>
    <row r="979" ht="51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4"/>
      <c r="X979" s="5"/>
      <c r="Y979" s="5"/>
      <c r="Z979" s="6"/>
      <c r="AA979" s="1"/>
      <c r="AB979" s="1"/>
      <c r="AC979" s="1"/>
    </row>
    <row r="980" ht="51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4"/>
      <c r="X980" s="5"/>
      <c r="Y980" s="5"/>
      <c r="Z980" s="6"/>
      <c r="AA980" s="1"/>
      <c r="AB980" s="1"/>
      <c r="AC980" s="1"/>
    </row>
    <row r="981" ht="51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4"/>
      <c r="X981" s="5"/>
      <c r="Y981" s="5"/>
      <c r="Z981" s="6"/>
      <c r="AA981" s="1"/>
      <c r="AB981" s="1"/>
      <c r="AC981" s="1"/>
    </row>
    <row r="982" ht="51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4"/>
      <c r="X982" s="5"/>
      <c r="Y982" s="5"/>
      <c r="Z982" s="6"/>
      <c r="AA982" s="1"/>
      <c r="AB982" s="1"/>
      <c r="AC982" s="1"/>
    </row>
    <row r="983" ht="51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4"/>
      <c r="X983" s="5"/>
      <c r="Y983" s="5"/>
      <c r="Z983" s="6"/>
      <c r="AA983" s="1"/>
      <c r="AB983" s="1"/>
      <c r="AC983" s="1"/>
    </row>
    <row r="984" ht="51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4"/>
      <c r="X984" s="5"/>
      <c r="Y984" s="5"/>
      <c r="Z984" s="6"/>
      <c r="AA984" s="1"/>
      <c r="AB984" s="1"/>
      <c r="AC984" s="1"/>
    </row>
    <row r="985" ht="51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4"/>
      <c r="X985" s="5"/>
      <c r="Y985" s="5"/>
      <c r="Z985" s="6"/>
      <c r="AA985" s="1"/>
      <c r="AB985" s="1"/>
      <c r="AC985" s="1"/>
    </row>
    <row r="986" ht="51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4"/>
      <c r="X986" s="5"/>
      <c r="Y986" s="5"/>
      <c r="Z986" s="6"/>
      <c r="AA986" s="1"/>
      <c r="AB986" s="1"/>
      <c r="AC986" s="1"/>
    </row>
    <row r="987" ht="51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4"/>
      <c r="X987" s="5"/>
      <c r="Y987" s="5"/>
      <c r="Z987" s="6"/>
      <c r="AA987" s="1"/>
      <c r="AB987" s="1"/>
      <c r="AC987" s="1"/>
    </row>
    <row r="988" ht="51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4"/>
      <c r="X988" s="5"/>
      <c r="Y988" s="5"/>
      <c r="Z988" s="6"/>
      <c r="AA988" s="1"/>
      <c r="AB988" s="1"/>
      <c r="AC988" s="1"/>
    </row>
    <row r="989" ht="51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4"/>
      <c r="X989" s="5"/>
      <c r="Y989" s="5"/>
      <c r="Z989" s="6"/>
      <c r="AA989" s="1"/>
      <c r="AB989" s="1"/>
      <c r="AC989" s="1"/>
    </row>
    <row r="990" ht="51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4"/>
      <c r="X990" s="5"/>
      <c r="Y990" s="5"/>
      <c r="Z990" s="6"/>
      <c r="AA990" s="1"/>
      <c r="AB990" s="1"/>
      <c r="AC990" s="1"/>
    </row>
    <row r="991" ht="51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4"/>
      <c r="X991" s="5"/>
      <c r="Y991" s="5"/>
      <c r="Z991" s="6"/>
      <c r="AA991" s="1"/>
      <c r="AB991" s="1"/>
      <c r="AC991" s="1"/>
    </row>
    <row r="992" ht="51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4"/>
      <c r="X992" s="5"/>
      <c r="Y992" s="5"/>
      <c r="Z992" s="6"/>
      <c r="AA992" s="1"/>
      <c r="AB992" s="1"/>
      <c r="AC992" s="1"/>
    </row>
    <row r="993" ht="51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4"/>
      <c r="X993" s="5"/>
      <c r="Y993" s="5"/>
      <c r="Z993" s="6"/>
      <c r="AA993" s="1"/>
      <c r="AB993" s="1"/>
      <c r="AC993" s="1"/>
    </row>
    <row r="994" ht="51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4"/>
      <c r="X994" s="5"/>
      <c r="Y994" s="5"/>
      <c r="Z994" s="6"/>
      <c r="AA994" s="1"/>
      <c r="AB994" s="1"/>
      <c r="AC994" s="1"/>
    </row>
    <row r="995" ht="51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4"/>
      <c r="X995" s="5"/>
      <c r="Y995" s="5"/>
      <c r="Z995" s="6"/>
      <c r="AA995" s="1"/>
      <c r="AB995" s="1"/>
      <c r="AC995" s="1"/>
    </row>
    <row r="996" ht="51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4"/>
      <c r="X996" s="5"/>
      <c r="Y996" s="5"/>
      <c r="Z996" s="6"/>
      <c r="AA996" s="1"/>
      <c r="AB996" s="1"/>
      <c r="AC996" s="1"/>
    </row>
    <row r="997" ht="51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4"/>
      <c r="X997" s="5"/>
      <c r="Y997" s="5"/>
      <c r="Z997" s="6"/>
      <c r="AA997" s="1"/>
      <c r="AB997" s="1"/>
      <c r="AC997" s="1"/>
    </row>
    <row r="998" ht="51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4"/>
      <c r="X998" s="5"/>
      <c r="Y998" s="5"/>
      <c r="Z998" s="6"/>
      <c r="AA998" s="1"/>
      <c r="AB998" s="1"/>
      <c r="AC998" s="1"/>
    </row>
    <row r="999" ht="51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4"/>
      <c r="X999" s="5"/>
      <c r="Y999" s="5"/>
      <c r="Z999" s="6"/>
      <c r="AA999" s="1"/>
      <c r="AB999" s="1"/>
      <c r="AC999" s="1"/>
    </row>
    <row r="1000" ht="51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4"/>
      <c r="X1000" s="5"/>
      <c r="Y1000" s="5"/>
      <c r="Z1000" s="6"/>
      <c r="AA1000" s="1"/>
      <c r="AB1000" s="1"/>
      <c r="AC1000" s="1"/>
    </row>
  </sheetData>
  <mergeCells count="36">
    <mergeCell ref="R14:R15"/>
    <mergeCell ref="S14:S15"/>
    <mergeCell ref="T14:T15"/>
    <mergeCell ref="U14:U15"/>
    <mergeCell ref="W14:W15"/>
    <mergeCell ref="X14:X15"/>
    <mergeCell ref="Y14:Y15"/>
    <mergeCell ref="Z14:Z15"/>
    <mergeCell ref="I14:I15"/>
    <mergeCell ref="J14:J15"/>
    <mergeCell ref="K14:K15"/>
    <mergeCell ref="L14:L15"/>
    <mergeCell ref="M14:M15"/>
    <mergeCell ref="N14:N15"/>
    <mergeCell ref="P14:Q15"/>
    <mergeCell ref="B14:B15"/>
    <mergeCell ref="C14:C15"/>
    <mergeCell ref="D14:D15"/>
    <mergeCell ref="E14:E15"/>
    <mergeCell ref="F14:F15"/>
    <mergeCell ref="G14:G15"/>
    <mergeCell ref="H14:H15"/>
    <mergeCell ref="B39:C39"/>
    <mergeCell ref="B45:C45"/>
    <mergeCell ref="J46:J48"/>
    <mergeCell ref="B49:Q49"/>
    <mergeCell ref="B51:U51"/>
    <mergeCell ref="B52:U52"/>
    <mergeCell ref="B53:U53"/>
    <mergeCell ref="B17:C17"/>
    <mergeCell ref="B30:Q30"/>
    <mergeCell ref="B32:C32"/>
    <mergeCell ref="J33:J36"/>
    <mergeCell ref="B37:Q37"/>
    <mergeCell ref="J40:J42"/>
    <mergeCell ref="B43:Q43"/>
  </mergeCells>
  <conditionalFormatting sqref="C6:C7">
    <cfRule type="containsBlanks" dxfId="0" priority="1">
      <formula>LEN(TRIM(C6))=0</formula>
    </cfRule>
  </conditionalFormatting>
  <conditionalFormatting sqref="C9:C12">
    <cfRule type="containsBlanks" dxfId="0" priority="2">
      <formula>LEN(TRIM(C9))=0</formula>
    </cfRule>
  </conditionalFormatting>
  <conditionalFormatting sqref="P18:Q29">
    <cfRule type="containsBlanks" dxfId="0" priority="3">
      <formula>LEN(TRIM(P18))=0</formula>
    </cfRule>
  </conditionalFormatting>
  <conditionalFormatting sqref="P33:Q36">
    <cfRule type="containsBlanks" dxfId="0" priority="4">
      <formula>LEN(TRIM(P33))=0</formula>
    </cfRule>
  </conditionalFormatting>
  <conditionalFormatting sqref="P40:Q42">
    <cfRule type="containsBlanks" dxfId="0" priority="5">
      <formula>LEN(TRIM(P40))=0</formula>
    </cfRule>
  </conditionalFormatting>
  <conditionalFormatting sqref="P46:Q48">
    <cfRule type="containsBlanks" dxfId="0" priority="6">
      <formula>LEN(TRIM(P46))=0</formula>
    </cfRule>
  </conditionalFormatting>
  <conditionalFormatting sqref="V12">
    <cfRule type="expression" dxfId="1" priority="7">
      <formula>ISNUMBER(SEARCH("ADDED VALUE",V12))=TRUE</formula>
    </cfRule>
  </conditionalFormatting>
  <conditionalFormatting sqref="V13:V24 V26:V34">
    <cfRule type="cellIs" dxfId="2" priority="8" operator="equal">
      <formula>#REF!</formula>
    </cfRule>
  </conditionalFormatting>
  <conditionalFormatting sqref="V13:V24 V26:V34">
    <cfRule type="expression" dxfId="2" priority="9">
      <formula>IF(#REF!=#REF!,"ADDED VALUE"=TRUE)</formula>
    </cfRule>
  </conditionalFormatting>
  <conditionalFormatting sqref="V36:V50">
    <cfRule type="cellIs" dxfId="2" priority="10" operator="equal">
      <formula>#REF!</formula>
    </cfRule>
  </conditionalFormatting>
  <conditionalFormatting sqref="V36:V50">
    <cfRule type="expression" dxfId="2" priority="11">
      <formula>IF(#REF!=#REF!,"ADDED VALUE"=TRUE)</formula>
    </cfRule>
  </conditionalFormatting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26.0"/>
    <col customWidth="1" min="3" max="18" width="64.75"/>
    <col customWidth="1" min="19" max="23" width="31.88"/>
    <col customWidth="1" min="24" max="24" width="16.13"/>
    <col customWidth="1" min="25" max="25" width="20.5"/>
    <col customWidth="1" min="26" max="26" width="24.5"/>
  </cols>
  <sheetData>
    <row r="1" ht="19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"/>
      <c r="X1" s="5"/>
      <c r="Y1" s="5"/>
      <c r="Z1" s="6"/>
    </row>
    <row r="2" ht="19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"/>
      <c r="X2" s="5"/>
      <c r="Y2" s="5"/>
      <c r="Z2" s="6"/>
    </row>
    <row r="3" ht="19.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4"/>
      <c r="X3" s="5"/>
      <c r="Y3" s="5"/>
      <c r="Z3" s="6"/>
    </row>
    <row r="4" ht="19.5" customHeight="1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4"/>
      <c r="X4" s="5"/>
      <c r="Y4" s="5"/>
      <c r="Z4" s="6"/>
    </row>
    <row r="5" ht="19.5" customHeight="1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4"/>
      <c r="X5" s="5"/>
      <c r="Y5" s="5"/>
      <c r="Z5" s="6"/>
    </row>
    <row r="6" ht="19.5" customHeight="1">
      <c r="A6" s="10"/>
      <c r="B6" s="12" t="s">
        <v>3</v>
      </c>
      <c r="C6" s="14" t="s">
        <v>4</v>
      </c>
      <c r="D6" s="10"/>
      <c r="E6" s="1"/>
      <c r="F6" s="1"/>
      <c r="G6" s="10"/>
      <c r="H6" s="10"/>
      <c r="I6" s="10"/>
      <c r="J6" s="17"/>
      <c r="K6" s="17"/>
      <c r="L6" s="17"/>
      <c r="M6" s="17"/>
      <c r="N6" s="17"/>
      <c r="O6" s="10"/>
      <c r="P6" s="10"/>
      <c r="Q6" s="10"/>
      <c r="R6" s="10"/>
      <c r="S6" s="10"/>
      <c r="T6" s="10"/>
      <c r="U6" s="10"/>
      <c r="V6" s="1"/>
      <c r="W6" s="19"/>
      <c r="X6" s="20"/>
      <c r="Y6" s="20"/>
      <c r="Z6" s="21"/>
    </row>
    <row r="7" ht="19.5" customHeight="1">
      <c r="A7" s="10"/>
      <c r="B7" s="12" t="s">
        <v>7</v>
      </c>
      <c r="C7" s="18" t="s">
        <v>8</v>
      </c>
      <c r="D7" s="10"/>
      <c r="E7" s="1"/>
      <c r="F7" s="1"/>
      <c r="G7" s="10"/>
      <c r="H7" s="10"/>
      <c r="I7" s="10"/>
      <c r="J7" s="17"/>
      <c r="K7" s="17"/>
      <c r="L7" s="17"/>
      <c r="M7" s="17"/>
      <c r="N7" s="17"/>
      <c r="O7" s="10"/>
      <c r="P7" s="10"/>
      <c r="Q7" s="10"/>
      <c r="R7" s="10"/>
      <c r="S7" s="10"/>
      <c r="T7" s="10"/>
      <c r="U7" s="10"/>
      <c r="V7" s="1"/>
      <c r="W7" s="19"/>
      <c r="X7" s="20"/>
      <c r="Y7" s="20"/>
      <c r="Z7" s="21"/>
    </row>
    <row r="8" ht="19.5" customHeight="1">
      <c r="A8" s="10"/>
      <c r="B8" s="12" t="s">
        <v>9</v>
      </c>
      <c r="C8" s="24" t="s">
        <v>11</v>
      </c>
      <c r="D8" s="10"/>
      <c r="E8" s="1"/>
      <c r="F8" s="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9"/>
      <c r="X8" s="20"/>
      <c r="Y8" s="20"/>
      <c r="Z8" s="21"/>
    </row>
    <row r="9" ht="19.5" customHeight="1">
      <c r="A9" s="28"/>
      <c r="B9" s="12" t="s">
        <v>15</v>
      </c>
      <c r="C9" s="14" t="s">
        <v>16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9"/>
      <c r="X9" s="30"/>
      <c r="Y9" s="30"/>
      <c r="Z9" s="31"/>
    </row>
    <row r="10" ht="19.5" customHeight="1">
      <c r="A10" s="28"/>
      <c r="B10" s="12" t="s">
        <v>19</v>
      </c>
      <c r="C10" s="32" t="s">
        <v>20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9"/>
      <c r="X10" s="34"/>
      <c r="Y10" s="30"/>
      <c r="Z10" s="35"/>
    </row>
    <row r="11" ht="19.5" customHeight="1">
      <c r="A11" s="28"/>
      <c r="B11" s="12" t="s">
        <v>21</v>
      </c>
      <c r="C11" s="14" t="str">
        <f>'[36]Approval Form'!C10</f>
        <v>#REF!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9"/>
      <c r="X11" s="37"/>
      <c r="Y11" s="37"/>
      <c r="Z11" s="31"/>
    </row>
    <row r="12" ht="19.5" customHeight="1">
      <c r="A12" s="28"/>
      <c r="B12" s="38" t="s">
        <v>23</v>
      </c>
      <c r="C12" s="41">
        <f>TODAY()</f>
        <v>46258</v>
      </c>
      <c r="D12" s="10"/>
      <c r="E12" s="10"/>
      <c r="F12" s="10"/>
      <c r="G12" s="10"/>
      <c r="H12" s="10"/>
      <c r="I12" s="19"/>
      <c r="J12" s="10"/>
      <c r="K12" s="10"/>
      <c r="L12" s="10"/>
      <c r="M12" s="10"/>
      <c r="N12" s="10"/>
      <c r="O12" s="10"/>
      <c r="P12" s="10"/>
      <c r="Q12" s="10"/>
      <c r="R12" s="44"/>
      <c r="S12" s="44"/>
      <c r="T12" s="44"/>
      <c r="U12" s="44"/>
      <c r="V12" s="10"/>
      <c r="W12" s="19"/>
      <c r="X12" s="30"/>
      <c r="Y12" s="35"/>
      <c r="Z12" s="31"/>
    </row>
    <row r="13" ht="15.0" customHeight="1">
      <c r="A13" s="28"/>
      <c r="B13" s="10"/>
      <c r="C13" s="46"/>
      <c r="D13" s="10"/>
      <c r="E13" s="10"/>
      <c r="F13" s="10"/>
      <c r="G13" s="10"/>
      <c r="H13" s="10"/>
      <c r="I13" s="1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9"/>
      <c r="X13" s="30"/>
      <c r="Y13" s="30"/>
      <c r="Z13" s="31"/>
    </row>
    <row r="14" ht="15.0" customHeight="1">
      <c r="A14" s="1"/>
      <c r="B14" s="49" t="s">
        <v>25</v>
      </c>
      <c r="C14" s="49" t="s">
        <v>27</v>
      </c>
      <c r="D14" s="49" t="s">
        <v>29</v>
      </c>
      <c r="E14" s="49" t="s">
        <v>31</v>
      </c>
      <c r="F14" s="49" t="s">
        <v>33</v>
      </c>
      <c r="G14" s="49" t="s">
        <v>34</v>
      </c>
      <c r="H14" s="49" t="s">
        <v>36</v>
      </c>
      <c r="I14" s="49" t="s">
        <v>37</v>
      </c>
      <c r="J14" s="49" t="s">
        <v>38</v>
      </c>
      <c r="K14" s="49" t="s">
        <v>39</v>
      </c>
      <c r="L14" s="49" t="s">
        <v>40</v>
      </c>
      <c r="M14" s="49" t="s">
        <v>41</v>
      </c>
      <c r="N14" s="49" t="s">
        <v>42</v>
      </c>
      <c r="O14" s="57" t="s">
        <v>43</v>
      </c>
      <c r="P14" s="58" t="s">
        <v>44</v>
      </c>
      <c r="Q14" s="48"/>
      <c r="R14" s="59" t="s">
        <v>45</v>
      </c>
      <c r="S14" s="59" t="s">
        <v>46</v>
      </c>
      <c r="T14" s="59" t="s">
        <v>48</v>
      </c>
      <c r="U14" s="59" t="s">
        <v>49</v>
      </c>
      <c r="V14" s="10"/>
      <c r="W14" s="59" t="s">
        <v>51</v>
      </c>
      <c r="X14" s="63" t="s">
        <v>52</v>
      </c>
      <c r="Y14" s="63" t="s">
        <v>54</v>
      </c>
      <c r="Z14" s="63" t="s">
        <v>55</v>
      </c>
    </row>
    <row r="15" ht="15.0" customHeight="1">
      <c r="A15" s="1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7" t="s">
        <v>56</v>
      </c>
      <c r="P15" s="51"/>
      <c r="Q15" s="52"/>
      <c r="R15" s="56"/>
      <c r="S15" s="56"/>
      <c r="T15" s="56"/>
      <c r="U15" s="56"/>
      <c r="V15" s="10"/>
      <c r="W15" s="56"/>
      <c r="X15" s="56"/>
      <c r="Y15" s="56"/>
      <c r="Z15" s="56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7" t="s">
        <v>53</v>
      </c>
      <c r="C17" s="6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9"/>
      <c r="X17" s="5"/>
      <c r="Y17" s="5"/>
      <c r="Z17" s="6"/>
    </row>
    <row r="18" ht="21.75" customHeight="1">
      <c r="A18" s="1"/>
      <c r="B18" s="72" t="s">
        <v>58</v>
      </c>
      <c r="C18" s="72" t="s">
        <v>59</v>
      </c>
      <c r="D18" s="72" t="s">
        <v>53</v>
      </c>
      <c r="E18" s="72" t="s">
        <v>60</v>
      </c>
      <c r="F18" s="72" t="s">
        <v>61</v>
      </c>
      <c r="G18" s="72" t="s">
        <v>62</v>
      </c>
      <c r="H18" s="72" t="s">
        <v>63</v>
      </c>
      <c r="I18" s="72" t="s">
        <v>64</v>
      </c>
      <c r="J18" s="72" t="s">
        <v>65</v>
      </c>
      <c r="K18" s="75">
        <v>1.9E7</v>
      </c>
      <c r="L18" s="79">
        <f t="shared" ref="L18:L21" si="1">M18/K18</f>
        <v>0.9473684211</v>
      </c>
      <c r="M18" s="80">
        <f t="shared" ref="M18:M21" si="2">W18/N18</f>
        <v>18000000</v>
      </c>
      <c r="N18" s="80">
        <v>2.0</v>
      </c>
      <c r="O18" s="72" t="s">
        <v>70</v>
      </c>
      <c r="P18" s="82" t="s">
        <v>71</v>
      </c>
      <c r="Q18" s="82" t="s">
        <v>72</v>
      </c>
      <c r="R18" s="83">
        <f t="shared" ref="R18:R24" si="3">W18</f>
        <v>36000000</v>
      </c>
      <c r="S18" s="84">
        <v>0.02</v>
      </c>
      <c r="T18" s="83">
        <f t="shared" ref="T18:T21" si="4">R18*S18</f>
        <v>720000</v>
      </c>
      <c r="U18" s="86">
        <f t="shared" ref="U18:U20" si="5">W18*0.1%</f>
        <v>36000</v>
      </c>
      <c r="V18" s="10"/>
      <c r="W18" s="83">
        <f t="shared" ref="W18:W23" si="6">(Y18*1000)/X18</f>
        <v>36000000</v>
      </c>
      <c r="X18" s="88">
        <v>0.5</v>
      </c>
      <c r="Y18" s="89">
        <v>18000.0</v>
      </c>
      <c r="Z18" s="90">
        <f t="shared" ref="Z18:Z28" si="7">Y18*3.76</f>
        <v>67680</v>
      </c>
    </row>
    <row r="19" ht="22.5" customHeight="1">
      <c r="A19" s="1"/>
      <c r="B19" s="72" t="s">
        <v>81</v>
      </c>
      <c r="C19" s="72" t="s">
        <v>59</v>
      </c>
      <c r="D19" s="72" t="s">
        <v>53</v>
      </c>
      <c r="E19" s="72" t="s">
        <v>60</v>
      </c>
      <c r="F19" s="72" t="s">
        <v>69</v>
      </c>
      <c r="G19" s="72" t="s">
        <v>62</v>
      </c>
      <c r="H19" s="72" t="s">
        <v>63</v>
      </c>
      <c r="I19" s="72" t="s">
        <v>64</v>
      </c>
      <c r="J19" s="76"/>
      <c r="K19" s="75">
        <v>2.1E7</v>
      </c>
      <c r="L19" s="79">
        <f t="shared" si="1"/>
        <v>0.7142857143</v>
      </c>
      <c r="M19" s="80">
        <f t="shared" si="2"/>
        <v>15000000</v>
      </c>
      <c r="N19" s="80">
        <v>2.0</v>
      </c>
      <c r="O19" s="72" t="s">
        <v>70</v>
      </c>
      <c r="P19" s="82" t="s">
        <v>71</v>
      </c>
      <c r="Q19" s="82" t="s">
        <v>72</v>
      </c>
      <c r="R19" s="83">
        <f t="shared" si="3"/>
        <v>30000000</v>
      </c>
      <c r="S19" s="84">
        <v>0.02</v>
      </c>
      <c r="T19" s="83">
        <f t="shared" si="4"/>
        <v>600000</v>
      </c>
      <c r="U19" s="86">
        <f t="shared" si="5"/>
        <v>30000</v>
      </c>
      <c r="V19" s="10"/>
      <c r="W19" s="83">
        <f t="shared" si="6"/>
        <v>30000000</v>
      </c>
      <c r="X19" s="88">
        <v>0.6</v>
      </c>
      <c r="Y19" s="89">
        <v>18000.0</v>
      </c>
      <c r="Z19" s="90">
        <f t="shared" si="7"/>
        <v>67680</v>
      </c>
    </row>
    <row r="20" ht="22.5" customHeight="1">
      <c r="A20" s="1"/>
      <c r="B20" s="72" t="s">
        <v>66</v>
      </c>
      <c r="C20" s="72" t="s">
        <v>59</v>
      </c>
      <c r="D20" s="72" t="s">
        <v>53</v>
      </c>
      <c r="E20" s="72" t="s">
        <v>60</v>
      </c>
      <c r="F20" s="72" t="s">
        <v>69</v>
      </c>
      <c r="G20" s="72" t="s">
        <v>62</v>
      </c>
      <c r="H20" s="72" t="s">
        <v>63</v>
      </c>
      <c r="I20" s="72" t="s">
        <v>64</v>
      </c>
      <c r="J20" s="76"/>
      <c r="K20" s="75">
        <v>1.2E7</v>
      </c>
      <c r="L20" s="79">
        <f t="shared" si="1"/>
        <v>0.5</v>
      </c>
      <c r="M20" s="80">
        <f t="shared" si="2"/>
        <v>6000000</v>
      </c>
      <c r="N20" s="80">
        <v>2.0</v>
      </c>
      <c r="O20" s="72" t="s">
        <v>70</v>
      </c>
      <c r="P20" s="82" t="s">
        <v>71</v>
      </c>
      <c r="Q20" s="82" t="s">
        <v>72</v>
      </c>
      <c r="R20" s="83">
        <f t="shared" si="3"/>
        <v>12000000</v>
      </c>
      <c r="S20" s="84">
        <v>0.02</v>
      </c>
      <c r="T20" s="83">
        <f t="shared" si="4"/>
        <v>240000</v>
      </c>
      <c r="U20" s="86">
        <f t="shared" si="5"/>
        <v>12000</v>
      </c>
      <c r="V20" s="10"/>
      <c r="W20" s="83">
        <f t="shared" si="6"/>
        <v>12000000</v>
      </c>
      <c r="X20" s="88">
        <v>1.5</v>
      </c>
      <c r="Y20" s="89">
        <v>18000.0</v>
      </c>
      <c r="Z20" s="90">
        <f t="shared" si="7"/>
        <v>67680</v>
      </c>
    </row>
    <row r="21" ht="22.5" customHeight="1">
      <c r="A21" s="1"/>
      <c r="B21" s="72" t="s">
        <v>76</v>
      </c>
      <c r="C21" s="72" t="s">
        <v>93</v>
      </c>
      <c r="D21" s="72" t="s">
        <v>53</v>
      </c>
      <c r="E21" s="72" t="s">
        <v>60</v>
      </c>
      <c r="F21" s="72" t="s">
        <v>61</v>
      </c>
      <c r="G21" s="72" t="s">
        <v>62</v>
      </c>
      <c r="H21" s="72" t="s">
        <v>63</v>
      </c>
      <c r="I21" s="72" t="s">
        <v>64</v>
      </c>
      <c r="J21" s="76"/>
      <c r="K21" s="75">
        <v>1.9E7</v>
      </c>
      <c r="L21" s="79">
        <f t="shared" si="1"/>
        <v>0.3947368421</v>
      </c>
      <c r="M21" s="80">
        <f t="shared" si="2"/>
        <v>7500000</v>
      </c>
      <c r="N21" s="80">
        <v>2.0</v>
      </c>
      <c r="O21" s="72" t="s">
        <v>70</v>
      </c>
      <c r="P21" s="82" t="s">
        <v>71</v>
      </c>
      <c r="Q21" s="82" t="s">
        <v>72</v>
      </c>
      <c r="R21" s="83">
        <f t="shared" si="3"/>
        <v>15000000</v>
      </c>
      <c r="S21" s="84">
        <v>0.2</v>
      </c>
      <c r="T21" s="83">
        <f t="shared" si="4"/>
        <v>3000000</v>
      </c>
      <c r="U21" s="86" t="s">
        <v>20</v>
      </c>
      <c r="V21" s="10"/>
      <c r="W21" s="83">
        <f t="shared" si="6"/>
        <v>15000000</v>
      </c>
      <c r="X21" s="88">
        <v>1.2</v>
      </c>
      <c r="Y21" s="89">
        <v>18000.0</v>
      </c>
      <c r="Z21" s="90">
        <f t="shared" si="7"/>
        <v>67680</v>
      </c>
    </row>
    <row r="22" ht="22.5" customHeight="1">
      <c r="A22" s="1"/>
      <c r="B22" s="72" t="s">
        <v>95</v>
      </c>
      <c r="C22" s="72" t="s">
        <v>96</v>
      </c>
      <c r="D22" s="72" t="s">
        <v>53</v>
      </c>
      <c r="E22" s="72" t="s">
        <v>97</v>
      </c>
      <c r="F22" s="72" t="s">
        <v>61</v>
      </c>
      <c r="G22" s="72" t="s">
        <v>98</v>
      </c>
      <c r="H22" s="72" t="s">
        <v>63</v>
      </c>
      <c r="I22" s="72" t="s">
        <v>64</v>
      </c>
      <c r="J22" s="76"/>
      <c r="K22" s="75" t="s">
        <v>20</v>
      </c>
      <c r="L22" s="75" t="s">
        <v>20</v>
      </c>
      <c r="M22" s="75" t="s">
        <v>20</v>
      </c>
      <c r="N22" s="75" t="s">
        <v>20</v>
      </c>
      <c r="O22" s="72" t="s">
        <v>97</v>
      </c>
      <c r="P22" s="82" t="s">
        <v>71</v>
      </c>
      <c r="Q22" s="82" t="s">
        <v>72</v>
      </c>
      <c r="R22" s="83">
        <f t="shared" si="3"/>
        <v>11428571.43</v>
      </c>
      <c r="S22" s="84" t="s">
        <v>20</v>
      </c>
      <c r="T22" s="84" t="s">
        <v>20</v>
      </c>
      <c r="U22" s="86">
        <f>W22*1%</f>
        <v>114285.7143</v>
      </c>
      <c r="V22" s="1"/>
      <c r="W22" s="83">
        <f t="shared" si="6"/>
        <v>11428571.43</v>
      </c>
      <c r="X22" s="88">
        <v>3.5</v>
      </c>
      <c r="Y22" s="89">
        <v>40000.0</v>
      </c>
      <c r="Z22" s="90">
        <f t="shared" si="7"/>
        <v>150400</v>
      </c>
    </row>
    <row r="23" ht="24.0" customHeight="1">
      <c r="A23" s="1"/>
      <c r="B23" s="72" t="s">
        <v>105</v>
      </c>
      <c r="C23" s="72" t="s">
        <v>59</v>
      </c>
      <c r="D23" s="72" t="s">
        <v>53</v>
      </c>
      <c r="E23" s="72" t="s">
        <v>60</v>
      </c>
      <c r="F23" s="72" t="s">
        <v>69</v>
      </c>
      <c r="G23" s="72" t="s">
        <v>62</v>
      </c>
      <c r="H23" s="72" t="s">
        <v>63</v>
      </c>
      <c r="I23" s="72" t="s">
        <v>64</v>
      </c>
      <c r="J23" s="76"/>
      <c r="K23" s="75">
        <v>8000000.0</v>
      </c>
      <c r="L23" s="79">
        <f>M23/K23</f>
        <v>1.111111111</v>
      </c>
      <c r="M23" s="80">
        <f>W23/N23</f>
        <v>8888888.889</v>
      </c>
      <c r="N23" s="80">
        <v>2.0</v>
      </c>
      <c r="O23" s="72" t="s">
        <v>70</v>
      </c>
      <c r="P23" s="82" t="s">
        <v>71</v>
      </c>
      <c r="Q23" s="82" t="s">
        <v>72</v>
      </c>
      <c r="R23" s="83">
        <f t="shared" si="3"/>
        <v>17777777.78</v>
      </c>
      <c r="S23" s="84">
        <v>0.02</v>
      </c>
      <c r="T23" s="83">
        <f>R23*S23</f>
        <v>355555.5556</v>
      </c>
      <c r="U23" s="86">
        <f>W23*0.1%</f>
        <v>17777.77778</v>
      </c>
      <c r="V23" s="10"/>
      <c r="W23" s="83">
        <f t="shared" si="6"/>
        <v>17777777.78</v>
      </c>
      <c r="X23" s="88">
        <v>0.9</v>
      </c>
      <c r="Y23" s="89">
        <v>16000.0</v>
      </c>
      <c r="Z23" s="90">
        <f t="shared" si="7"/>
        <v>60160</v>
      </c>
    </row>
    <row r="24" ht="85.5" customHeight="1">
      <c r="A24" s="1"/>
      <c r="B24" s="72" t="s">
        <v>115</v>
      </c>
      <c r="C24" s="72" t="s">
        <v>118</v>
      </c>
      <c r="D24" s="72" t="s">
        <v>53</v>
      </c>
      <c r="E24" s="72" t="s">
        <v>90</v>
      </c>
      <c r="F24" s="72" t="s">
        <v>61</v>
      </c>
      <c r="G24" s="72" t="s">
        <v>62</v>
      </c>
      <c r="H24" s="72" t="s">
        <v>120</v>
      </c>
      <c r="I24" s="72" t="s">
        <v>64</v>
      </c>
      <c r="J24" s="76"/>
      <c r="K24" s="75" t="s">
        <v>20</v>
      </c>
      <c r="L24" s="75" t="s">
        <v>20</v>
      </c>
      <c r="M24" s="75" t="s">
        <v>20</v>
      </c>
      <c r="N24" s="75" t="s">
        <v>20</v>
      </c>
      <c r="O24" s="72" t="s">
        <v>90</v>
      </c>
      <c r="P24" s="82" t="s">
        <v>71</v>
      </c>
      <c r="Q24" s="82" t="s">
        <v>72</v>
      </c>
      <c r="R24" s="83" t="str">
        <f t="shared" si="3"/>
        <v>-</v>
      </c>
      <c r="S24" s="84" t="s">
        <v>20</v>
      </c>
      <c r="T24" s="83">
        <f>Y24/X24</f>
        <v>350000</v>
      </c>
      <c r="U24" s="84" t="s">
        <v>20</v>
      </c>
      <c r="V24" s="10"/>
      <c r="W24" s="83" t="s">
        <v>20</v>
      </c>
      <c r="X24" s="88">
        <v>0.04</v>
      </c>
      <c r="Y24" s="93">
        <v>14000.0</v>
      </c>
      <c r="Z24" s="90">
        <f t="shared" si="7"/>
        <v>52640</v>
      </c>
    </row>
    <row r="25" ht="24.0" customHeight="1">
      <c r="A25" s="1"/>
      <c r="B25" s="72" t="s">
        <v>125</v>
      </c>
      <c r="C25" s="72" t="s">
        <v>126</v>
      </c>
      <c r="D25" s="72" t="s">
        <v>53</v>
      </c>
      <c r="E25" s="72" t="s">
        <v>20</v>
      </c>
      <c r="F25" s="72" t="s">
        <v>61</v>
      </c>
      <c r="G25" s="72" t="s">
        <v>98</v>
      </c>
      <c r="H25" s="72" t="s">
        <v>127</v>
      </c>
      <c r="I25" s="72" t="s">
        <v>64</v>
      </c>
      <c r="J25" s="76"/>
      <c r="K25" s="75" t="s">
        <v>20</v>
      </c>
      <c r="L25" s="75" t="s">
        <v>20</v>
      </c>
      <c r="M25" s="75" t="s">
        <v>20</v>
      </c>
      <c r="N25" s="75" t="s">
        <v>20</v>
      </c>
      <c r="O25" s="72" t="s">
        <v>90</v>
      </c>
      <c r="P25" s="82" t="s">
        <v>71</v>
      </c>
      <c r="Q25" s="82" t="s">
        <v>72</v>
      </c>
      <c r="R25" s="83">
        <f t="shared" ref="R25:R28" si="8">U25</f>
        <v>10000</v>
      </c>
      <c r="S25" s="84" t="s">
        <v>20</v>
      </c>
      <c r="T25" s="84" t="s">
        <v>20</v>
      </c>
      <c r="U25" s="86">
        <f t="shared" ref="U25:U28" si="9">Y25/X25</f>
        <v>10000</v>
      </c>
      <c r="V25" s="10"/>
      <c r="W25" s="83" t="s">
        <v>20</v>
      </c>
      <c r="X25" s="88">
        <v>1.2</v>
      </c>
      <c r="Y25" s="89">
        <v>12000.0</v>
      </c>
      <c r="Z25" s="90">
        <f t="shared" si="7"/>
        <v>45120</v>
      </c>
    </row>
    <row r="26" ht="24.0" customHeight="1">
      <c r="A26" s="1"/>
      <c r="B26" s="72" t="s">
        <v>129</v>
      </c>
      <c r="C26" s="72" t="s">
        <v>130</v>
      </c>
      <c r="D26" s="72" t="s">
        <v>53</v>
      </c>
      <c r="E26" s="72" t="s">
        <v>20</v>
      </c>
      <c r="F26" s="72" t="s">
        <v>61</v>
      </c>
      <c r="G26" s="72" t="s">
        <v>132</v>
      </c>
      <c r="H26" s="72" t="s">
        <v>127</v>
      </c>
      <c r="I26" s="72" t="s">
        <v>64</v>
      </c>
      <c r="J26" s="76"/>
      <c r="K26" s="75" t="s">
        <v>20</v>
      </c>
      <c r="L26" s="75" t="s">
        <v>20</v>
      </c>
      <c r="M26" s="75" t="s">
        <v>20</v>
      </c>
      <c r="N26" s="75" t="s">
        <v>20</v>
      </c>
      <c r="O26" s="72" t="s">
        <v>90</v>
      </c>
      <c r="P26" s="82" t="s">
        <v>71</v>
      </c>
      <c r="Q26" s="82" t="s">
        <v>72</v>
      </c>
      <c r="R26" s="83">
        <f t="shared" si="8"/>
        <v>30000</v>
      </c>
      <c r="S26" s="84" t="s">
        <v>20</v>
      </c>
      <c r="T26" s="84" t="s">
        <v>20</v>
      </c>
      <c r="U26" s="86">
        <f t="shared" si="9"/>
        <v>30000</v>
      </c>
      <c r="V26" s="10"/>
      <c r="W26" s="83" t="s">
        <v>20</v>
      </c>
      <c r="X26" s="88">
        <v>0.4</v>
      </c>
      <c r="Y26" s="89">
        <v>12000.0</v>
      </c>
      <c r="Z26" s="90">
        <f t="shared" si="7"/>
        <v>45120</v>
      </c>
    </row>
    <row r="27" ht="24.0" customHeight="1">
      <c r="A27" s="1"/>
      <c r="B27" s="72" t="s">
        <v>58</v>
      </c>
      <c r="C27" s="72" t="s">
        <v>59</v>
      </c>
      <c r="D27" s="72" t="s">
        <v>53</v>
      </c>
      <c r="E27" s="72" t="s">
        <v>60</v>
      </c>
      <c r="F27" s="72" t="s">
        <v>61</v>
      </c>
      <c r="G27" s="72" t="s">
        <v>132</v>
      </c>
      <c r="H27" s="72" t="s">
        <v>127</v>
      </c>
      <c r="I27" s="72" t="s">
        <v>64</v>
      </c>
      <c r="J27" s="76"/>
      <c r="K27" s="75">
        <v>1.9E7</v>
      </c>
      <c r="L27" s="75" t="s">
        <v>20</v>
      </c>
      <c r="M27" s="75" t="s">
        <v>20</v>
      </c>
      <c r="N27" s="75" t="s">
        <v>20</v>
      </c>
      <c r="O27" s="72" t="s">
        <v>70</v>
      </c>
      <c r="P27" s="82" t="s">
        <v>71</v>
      </c>
      <c r="Q27" s="82" t="s">
        <v>72</v>
      </c>
      <c r="R27" s="83">
        <f t="shared" si="8"/>
        <v>32500</v>
      </c>
      <c r="S27" s="84" t="s">
        <v>20</v>
      </c>
      <c r="T27" s="84" t="s">
        <v>20</v>
      </c>
      <c r="U27" s="86">
        <f t="shared" si="9"/>
        <v>32500</v>
      </c>
      <c r="V27" s="10"/>
      <c r="W27" s="83" t="s">
        <v>20</v>
      </c>
      <c r="X27" s="88">
        <v>0.4</v>
      </c>
      <c r="Y27" s="89">
        <v>13000.0</v>
      </c>
      <c r="Z27" s="90">
        <f t="shared" si="7"/>
        <v>48880</v>
      </c>
    </row>
    <row r="28" ht="24.0" customHeight="1">
      <c r="A28" s="1"/>
      <c r="B28" s="72" t="s">
        <v>81</v>
      </c>
      <c r="C28" s="72" t="s">
        <v>59</v>
      </c>
      <c r="D28" s="72" t="s">
        <v>53</v>
      </c>
      <c r="E28" s="72" t="s">
        <v>60</v>
      </c>
      <c r="F28" s="72" t="s">
        <v>61</v>
      </c>
      <c r="G28" s="72" t="s">
        <v>132</v>
      </c>
      <c r="H28" s="72" t="s">
        <v>127</v>
      </c>
      <c r="I28" s="72" t="s">
        <v>64</v>
      </c>
      <c r="J28" s="76"/>
      <c r="K28" s="80">
        <v>2.1E7</v>
      </c>
      <c r="L28" s="80" t="s">
        <v>20</v>
      </c>
      <c r="M28" s="80" t="s">
        <v>20</v>
      </c>
      <c r="N28" s="80" t="s">
        <v>20</v>
      </c>
      <c r="O28" s="72" t="s">
        <v>70</v>
      </c>
      <c r="P28" s="82" t="s">
        <v>71</v>
      </c>
      <c r="Q28" s="82" t="s">
        <v>72</v>
      </c>
      <c r="R28" s="83">
        <f t="shared" si="8"/>
        <v>43333.33333</v>
      </c>
      <c r="S28" s="79" t="s">
        <v>20</v>
      </c>
      <c r="T28" s="79" t="s">
        <v>20</v>
      </c>
      <c r="U28" s="86">
        <f t="shared" si="9"/>
        <v>43333.33333</v>
      </c>
      <c r="V28" s="10"/>
      <c r="W28" s="83" t="s">
        <v>20</v>
      </c>
      <c r="X28" s="88">
        <v>0.3</v>
      </c>
      <c r="Y28" s="89">
        <v>13000.0</v>
      </c>
      <c r="Z28" s="90">
        <f t="shared" si="7"/>
        <v>48880</v>
      </c>
    </row>
    <row r="29" ht="15.0" customHeight="1">
      <c r="A29" s="1"/>
      <c r="B29" s="96" t="s">
        <v>94</v>
      </c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68"/>
      <c r="R29" s="98"/>
      <c r="S29" s="98"/>
      <c r="T29" s="99">
        <f t="shared" ref="T29:U29" si="10">SUM(T18:T28)</f>
        <v>5265555.556</v>
      </c>
      <c r="U29" s="99">
        <f t="shared" si="10"/>
        <v>325896.8254</v>
      </c>
      <c r="V29" s="1"/>
      <c r="W29" s="99">
        <f>SUM(W18:W28)</f>
        <v>122206349.2</v>
      </c>
      <c r="X29" s="99"/>
      <c r="Y29" s="100">
        <f t="shared" ref="Y29:Z29" si="11">SUM(Y18:Y28)</f>
        <v>192000</v>
      </c>
      <c r="Z29" s="101">
        <f t="shared" si="11"/>
        <v>721920</v>
      </c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67" t="s">
        <v>99</v>
      </c>
      <c r="C31" s="6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1.5" customHeight="1">
      <c r="A32" s="1"/>
      <c r="B32" s="72" t="s">
        <v>58</v>
      </c>
      <c r="C32" s="72" t="s">
        <v>59</v>
      </c>
      <c r="D32" s="72" t="s">
        <v>104</v>
      </c>
      <c r="E32" s="72" t="s">
        <v>60</v>
      </c>
      <c r="F32" s="72" t="s">
        <v>61</v>
      </c>
      <c r="G32" s="72" t="s">
        <v>62</v>
      </c>
      <c r="H32" s="72" t="s">
        <v>63</v>
      </c>
      <c r="I32" s="72" t="s">
        <v>64</v>
      </c>
      <c r="J32" s="72" t="s">
        <v>65</v>
      </c>
      <c r="K32" s="75">
        <v>1.6E7</v>
      </c>
      <c r="L32" s="79">
        <f t="shared" ref="L32:L33" si="12">M32/K32</f>
        <v>0.2678571429</v>
      </c>
      <c r="M32" s="80">
        <f t="shared" ref="M32:M33" si="13">W32/N32</f>
        <v>4285714.286</v>
      </c>
      <c r="N32" s="80">
        <v>2.0</v>
      </c>
      <c r="O32" s="72" t="s">
        <v>70</v>
      </c>
      <c r="P32" s="82" t="s">
        <v>71</v>
      </c>
      <c r="Q32" s="82" t="s">
        <v>72</v>
      </c>
      <c r="R32" s="83">
        <f t="shared" ref="R32:R34" si="14">W32</f>
        <v>8571428.571</v>
      </c>
      <c r="S32" s="84">
        <v>0.02</v>
      </c>
      <c r="T32" s="83">
        <f t="shared" ref="T32:T33" si="15">R32*S32</f>
        <v>171428.5714</v>
      </c>
      <c r="U32" s="86">
        <f>W32*0.1%</f>
        <v>8571.428571</v>
      </c>
      <c r="V32" s="10"/>
      <c r="W32" s="83">
        <f t="shared" ref="W32:W33" si="16">(Y32*1000)/X32</f>
        <v>8571428.571</v>
      </c>
      <c r="X32" s="88">
        <v>0.7</v>
      </c>
      <c r="Y32" s="89">
        <v>6000.0</v>
      </c>
      <c r="Z32" s="90">
        <f t="shared" ref="Z32:Z35" si="17">Y32*3.76</f>
        <v>22560</v>
      </c>
    </row>
    <row r="33" ht="30.75" customHeight="1">
      <c r="A33" s="1"/>
      <c r="B33" s="72" t="s">
        <v>76</v>
      </c>
      <c r="C33" s="72" t="s">
        <v>59</v>
      </c>
      <c r="D33" s="72" t="s">
        <v>104</v>
      </c>
      <c r="E33" s="72" t="s">
        <v>60</v>
      </c>
      <c r="F33" s="72" t="s">
        <v>61</v>
      </c>
      <c r="G33" s="72" t="s">
        <v>62</v>
      </c>
      <c r="H33" s="72" t="s">
        <v>63</v>
      </c>
      <c r="I33" s="72" t="s">
        <v>64</v>
      </c>
      <c r="J33" s="76"/>
      <c r="K33" s="75">
        <v>1.35E7</v>
      </c>
      <c r="L33" s="79">
        <f t="shared" si="12"/>
        <v>0.2469135802</v>
      </c>
      <c r="M33" s="80">
        <f t="shared" si="13"/>
        <v>3333333.333</v>
      </c>
      <c r="N33" s="80">
        <v>2.0</v>
      </c>
      <c r="O33" s="72" t="s">
        <v>70</v>
      </c>
      <c r="P33" s="82" t="s">
        <v>71</v>
      </c>
      <c r="Q33" s="82" t="s">
        <v>72</v>
      </c>
      <c r="R33" s="83">
        <f t="shared" si="14"/>
        <v>6666666.667</v>
      </c>
      <c r="S33" s="84">
        <v>0.2</v>
      </c>
      <c r="T33" s="83">
        <f t="shared" si="15"/>
        <v>1333333.333</v>
      </c>
      <c r="U33" s="86" t="s">
        <v>20</v>
      </c>
      <c r="V33" s="10"/>
      <c r="W33" s="83">
        <f t="shared" si="16"/>
        <v>6666666.667</v>
      </c>
      <c r="X33" s="88">
        <v>1.2</v>
      </c>
      <c r="Y33" s="89">
        <v>8000.0</v>
      </c>
      <c r="Z33" s="90">
        <f t="shared" si="17"/>
        <v>30080</v>
      </c>
    </row>
    <row r="34" ht="71.25" customHeight="1">
      <c r="A34" s="1"/>
      <c r="B34" s="72" t="s">
        <v>115</v>
      </c>
      <c r="C34" s="72" t="s">
        <v>118</v>
      </c>
      <c r="D34" s="72" t="s">
        <v>104</v>
      </c>
      <c r="E34" s="72" t="s">
        <v>90</v>
      </c>
      <c r="F34" s="72" t="s">
        <v>61</v>
      </c>
      <c r="G34" s="72" t="s">
        <v>62</v>
      </c>
      <c r="H34" s="72" t="s">
        <v>120</v>
      </c>
      <c r="I34" s="72" t="s">
        <v>64</v>
      </c>
      <c r="J34" s="76"/>
      <c r="K34" s="75" t="s">
        <v>20</v>
      </c>
      <c r="L34" s="75" t="s">
        <v>20</v>
      </c>
      <c r="M34" s="75" t="s">
        <v>20</v>
      </c>
      <c r="N34" s="75" t="s">
        <v>20</v>
      </c>
      <c r="O34" s="72" t="s">
        <v>90</v>
      </c>
      <c r="P34" s="82" t="s">
        <v>71</v>
      </c>
      <c r="Q34" s="82" t="s">
        <v>72</v>
      </c>
      <c r="R34" s="83" t="str">
        <f t="shared" si="14"/>
        <v>-</v>
      </c>
      <c r="S34" s="84" t="s">
        <v>20</v>
      </c>
      <c r="T34" s="83">
        <f>Y34/X34</f>
        <v>175000</v>
      </c>
      <c r="U34" s="84" t="s">
        <v>20</v>
      </c>
      <c r="V34" s="10"/>
      <c r="W34" s="83" t="s">
        <v>20</v>
      </c>
      <c r="X34" s="88">
        <v>0.04</v>
      </c>
      <c r="Y34" s="93">
        <v>7000.0</v>
      </c>
      <c r="Z34" s="90">
        <f t="shared" si="17"/>
        <v>26320</v>
      </c>
    </row>
    <row r="35" ht="30.75" customHeight="1">
      <c r="A35" s="1"/>
      <c r="B35" s="72" t="s">
        <v>129</v>
      </c>
      <c r="C35" s="72" t="s">
        <v>130</v>
      </c>
      <c r="D35" s="72" t="s">
        <v>104</v>
      </c>
      <c r="E35" s="72" t="s">
        <v>20</v>
      </c>
      <c r="F35" s="72" t="s">
        <v>61</v>
      </c>
      <c r="G35" s="72" t="s">
        <v>132</v>
      </c>
      <c r="H35" s="72" t="s">
        <v>127</v>
      </c>
      <c r="I35" s="72" t="s">
        <v>86</v>
      </c>
      <c r="J35" s="56"/>
      <c r="K35" s="75" t="s">
        <v>20</v>
      </c>
      <c r="L35" s="75" t="s">
        <v>20</v>
      </c>
      <c r="M35" s="75" t="s">
        <v>20</v>
      </c>
      <c r="N35" s="75" t="s">
        <v>20</v>
      </c>
      <c r="O35" s="72" t="s">
        <v>90</v>
      </c>
      <c r="P35" s="82" t="s">
        <v>71</v>
      </c>
      <c r="Q35" s="82" t="s">
        <v>72</v>
      </c>
      <c r="R35" s="83">
        <f>U35</f>
        <v>17500</v>
      </c>
      <c r="S35" s="84" t="s">
        <v>20</v>
      </c>
      <c r="T35" s="84" t="s">
        <v>20</v>
      </c>
      <c r="U35" s="86">
        <f>Y35/X35</f>
        <v>17500</v>
      </c>
      <c r="V35" s="10"/>
      <c r="W35" s="83" t="s">
        <v>20</v>
      </c>
      <c r="X35" s="88">
        <v>0.4</v>
      </c>
      <c r="Y35" s="89">
        <v>7000.0</v>
      </c>
      <c r="Z35" s="90">
        <f t="shared" si="17"/>
        <v>26320</v>
      </c>
    </row>
    <row r="36" ht="15.0" customHeight="1">
      <c r="A36" s="1"/>
      <c r="B36" s="96" t="s">
        <v>128</v>
      </c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68"/>
      <c r="R36" s="98"/>
      <c r="S36" s="98"/>
      <c r="T36" s="99">
        <f t="shared" ref="T36:U36" si="18">SUM(T32:T35)</f>
        <v>1679761.905</v>
      </c>
      <c r="U36" s="99">
        <f t="shared" si="18"/>
        <v>26071.42857</v>
      </c>
      <c r="V36" s="1"/>
      <c r="W36" s="99">
        <f>SUM(W32:W35)</f>
        <v>15238095.24</v>
      </c>
      <c r="X36" s="99"/>
      <c r="Y36" s="100">
        <f t="shared" ref="Y36:Z36" si="19">SUM(Y32:Y35)</f>
        <v>28000</v>
      </c>
      <c r="Z36" s="101">
        <f t="shared" si="19"/>
        <v>105280</v>
      </c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7" t="s">
        <v>131</v>
      </c>
      <c r="C38" s="6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72" t="s">
        <v>58</v>
      </c>
      <c r="C39" s="72" t="s">
        <v>59</v>
      </c>
      <c r="D39" s="72" t="s">
        <v>131</v>
      </c>
      <c r="E39" s="72" t="s">
        <v>60</v>
      </c>
      <c r="F39" s="72" t="s">
        <v>61</v>
      </c>
      <c r="G39" s="72" t="s">
        <v>62</v>
      </c>
      <c r="H39" s="72" t="s">
        <v>63</v>
      </c>
      <c r="I39" s="72" t="s">
        <v>86</v>
      </c>
      <c r="J39" s="72" t="s">
        <v>65</v>
      </c>
      <c r="K39" s="75">
        <v>2.2E7</v>
      </c>
      <c r="L39" s="79">
        <f t="shared" ref="L39:L40" si="20">M39/K39</f>
        <v>0.1515151515</v>
      </c>
      <c r="M39" s="80">
        <f t="shared" ref="M39:M40" si="21">W39/N39</f>
        <v>3333333.333</v>
      </c>
      <c r="N39" s="80">
        <v>2.0</v>
      </c>
      <c r="O39" s="72" t="s">
        <v>70</v>
      </c>
      <c r="P39" s="82" t="s">
        <v>71</v>
      </c>
      <c r="Q39" s="82" t="s">
        <v>72</v>
      </c>
      <c r="R39" s="83">
        <f t="shared" ref="R39:R41" si="22">W39</f>
        <v>6666666.667</v>
      </c>
      <c r="S39" s="84">
        <v>0.02</v>
      </c>
      <c r="T39" s="83">
        <f t="shared" ref="T39:T40" si="23">R39*S39</f>
        <v>133333.3333</v>
      </c>
      <c r="U39" s="86">
        <f>W39*0.1%</f>
        <v>6666.666667</v>
      </c>
      <c r="V39" s="10"/>
      <c r="W39" s="83">
        <f t="shared" ref="W39:W40" si="24">(Y39*1000)/X39</f>
        <v>6666666.667</v>
      </c>
      <c r="X39" s="88">
        <v>0.75</v>
      </c>
      <c r="Y39" s="89">
        <v>5000.0</v>
      </c>
      <c r="Z39" s="90">
        <f t="shared" ref="Z39:Z42" si="25">Y39*3.76</f>
        <v>18800</v>
      </c>
    </row>
    <row r="40" ht="25.5" customHeight="1">
      <c r="A40" s="1"/>
      <c r="B40" s="72" t="s">
        <v>76</v>
      </c>
      <c r="C40" s="72" t="s">
        <v>59</v>
      </c>
      <c r="D40" s="72" t="s">
        <v>131</v>
      </c>
      <c r="E40" s="72" t="s">
        <v>60</v>
      </c>
      <c r="F40" s="72" t="s">
        <v>61</v>
      </c>
      <c r="G40" s="72" t="s">
        <v>62</v>
      </c>
      <c r="H40" s="72" t="s">
        <v>63</v>
      </c>
      <c r="I40" s="72" t="s">
        <v>86</v>
      </c>
      <c r="J40" s="76"/>
      <c r="K40" s="75">
        <v>1.9E7</v>
      </c>
      <c r="L40" s="79">
        <f t="shared" si="20"/>
        <v>0.08771929825</v>
      </c>
      <c r="M40" s="80">
        <f t="shared" si="21"/>
        <v>1666666.667</v>
      </c>
      <c r="N40" s="80">
        <v>2.0</v>
      </c>
      <c r="O40" s="72" t="s">
        <v>70</v>
      </c>
      <c r="P40" s="82" t="s">
        <v>71</v>
      </c>
      <c r="Q40" s="82" t="s">
        <v>72</v>
      </c>
      <c r="R40" s="83">
        <f t="shared" si="22"/>
        <v>3333333.333</v>
      </c>
      <c r="S40" s="84">
        <v>0.2</v>
      </c>
      <c r="T40" s="83">
        <f t="shared" si="23"/>
        <v>666666.6667</v>
      </c>
      <c r="U40" s="86" t="s">
        <v>20</v>
      </c>
      <c r="V40" s="10"/>
      <c r="W40" s="83">
        <f t="shared" si="24"/>
        <v>3333333.333</v>
      </c>
      <c r="X40" s="88">
        <v>1.2</v>
      </c>
      <c r="Y40" s="89">
        <v>4000.0</v>
      </c>
      <c r="Z40" s="90">
        <f t="shared" si="25"/>
        <v>15040</v>
      </c>
    </row>
    <row r="41" ht="25.5" customHeight="1">
      <c r="A41" s="1"/>
      <c r="B41" s="72" t="s">
        <v>115</v>
      </c>
      <c r="C41" s="72" t="s">
        <v>118</v>
      </c>
      <c r="D41" s="72" t="s">
        <v>131</v>
      </c>
      <c r="E41" s="72" t="s">
        <v>90</v>
      </c>
      <c r="F41" s="72" t="s">
        <v>61</v>
      </c>
      <c r="G41" s="72" t="s">
        <v>62</v>
      </c>
      <c r="H41" s="72" t="s">
        <v>120</v>
      </c>
      <c r="I41" s="72" t="s">
        <v>64</v>
      </c>
      <c r="J41" s="76"/>
      <c r="K41" s="75" t="s">
        <v>20</v>
      </c>
      <c r="L41" s="75" t="s">
        <v>20</v>
      </c>
      <c r="M41" s="75" t="s">
        <v>20</v>
      </c>
      <c r="N41" s="75" t="s">
        <v>20</v>
      </c>
      <c r="O41" s="72" t="s">
        <v>90</v>
      </c>
      <c r="P41" s="82" t="s">
        <v>71</v>
      </c>
      <c r="Q41" s="82" t="s">
        <v>72</v>
      </c>
      <c r="R41" s="83" t="str">
        <f t="shared" si="22"/>
        <v>-</v>
      </c>
      <c r="S41" s="84" t="s">
        <v>20</v>
      </c>
      <c r="T41" s="83">
        <f>Y41/X41</f>
        <v>125000</v>
      </c>
      <c r="U41" s="84" t="s">
        <v>20</v>
      </c>
      <c r="V41" s="10"/>
      <c r="W41" s="83" t="s">
        <v>20</v>
      </c>
      <c r="X41" s="88">
        <v>0.04</v>
      </c>
      <c r="Y41" s="93">
        <v>5000.0</v>
      </c>
      <c r="Z41" s="90">
        <f t="shared" si="25"/>
        <v>18800</v>
      </c>
    </row>
    <row r="42" ht="25.5" customHeight="1">
      <c r="A42" s="1"/>
      <c r="B42" s="72" t="s">
        <v>129</v>
      </c>
      <c r="C42" s="72" t="s">
        <v>130</v>
      </c>
      <c r="D42" s="72" t="s">
        <v>131</v>
      </c>
      <c r="E42" s="72" t="s">
        <v>20</v>
      </c>
      <c r="F42" s="72" t="s">
        <v>61</v>
      </c>
      <c r="G42" s="72" t="s">
        <v>132</v>
      </c>
      <c r="H42" s="72" t="s">
        <v>127</v>
      </c>
      <c r="I42" s="72" t="s">
        <v>86</v>
      </c>
      <c r="J42" s="56"/>
      <c r="K42" s="75" t="s">
        <v>20</v>
      </c>
      <c r="L42" s="75" t="s">
        <v>20</v>
      </c>
      <c r="M42" s="75" t="s">
        <v>20</v>
      </c>
      <c r="N42" s="75" t="s">
        <v>20</v>
      </c>
      <c r="O42" s="72" t="s">
        <v>90</v>
      </c>
      <c r="P42" s="82" t="s">
        <v>71</v>
      </c>
      <c r="Q42" s="82" t="s">
        <v>72</v>
      </c>
      <c r="R42" s="83">
        <f>U42</f>
        <v>8750</v>
      </c>
      <c r="S42" s="84" t="s">
        <v>20</v>
      </c>
      <c r="T42" s="84" t="s">
        <v>20</v>
      </c>
      <c r="U42" s="86">
        <f>Y42/X42</f>
        <v>8750</v>
      </c>
      <c r="V42" s="10"/>
      <c r="W42" s="83" t="s">
        <v>20</v>
      </c>
      <c r="X42" s="88">
        <v>0.4</v>
      </c>
      <c r="Y42" s="89">
        <v>3500.0</v>
      </c>
      <c r="Z42" s="90">
        <f t="shared" si="25"/>
        <v>13160</v>
      </c>
    </row>
    <row r="43" ht="15.0" customHeight="1">
      <c r="A43" s="1"/>
      <c r="B43" s="96" t="s">
        <v>134</v>
      </c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68"/>
      <c r="R43" s="98"/>
      <c r="S43" s="98"/>
      <c r="T43" s="99">
        <f t="shared" ref="T43:U43" si="26">SUM(T39:T42)</f>
        <v>925000</v>
      </c>
      <c r="U43" s="99">
        <f t="shared" si="26"/>
        <v>15416.66667</v>
      </c>
      <c r="V43" s="1"/>
      <c r="W43" s="99">
        <f>SUM(W39:W40)</f>
        <v>10000000</v>
      </c>
      <c r="X43" s="99"/>
      <c r="Y43" s="100">
        <f t="shared" ref="Y43:Z43" si="27">SUM(Y39:Y42)</f>
        <v>17500</v>
      </c>
      <c r="Z43" s="101">
        <f t="shared" si="27"/>
        <v>65800</v>
      </c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7" t="s">
        <v>135</v>
      </c>
      <c r="C45" s="6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9.25" customHeight="1">
      <c r="A46" s="1"/>
      <c r="B46" s="72" t="s">
        <v>58</v>
      </c>
      <c r="C46" s="72" t="s">
        <v>59</v>
      </c>
      <c r="D46" s="72" t="s">
        <v>135</v>
      </c>
      <c r="E46" s="72" t="s">
        <v>60</v>
      </c>
      <c r="F46" s="72" t="s">
        <v>61</v>
      </c>
      <c r="G46" s="72" t="s">
        <v>62</v>
      </c>
      <c r="H46" s="72" t="s">
        <v>63</v>
      </c>
      <c r="I46" s="72" t="s">
        <v>86</v>
      </c>
      <c r="J46" s="72" t="s">
        <v>65</v>
      </c>
      <c r="K46" s="75">
        <v>3000000.0</v>
      </c>
      <c r="L46" s="79">
        <f t="shared" ref="L46:L47" si="28">M46/K46</f>
        <v>0.6666666667</v>
      </c>
      <c r="M46" s="80">
        <f t="shared" ref="M46:M47" si="29">W46/N46</f>
        <v>2000000</v>
      </c>
      <c r="N46" s="80">
        <v>2.0</v>
      </c>
      <c r="O46" s="72" t="s">
        <v>70</v>
      </c>
      <c r="P46" s="82" t="s">
        <v>71</v>
      </c>
      <c r="Q46" s="82" t="s">
        <v>72</v>
      </c>
      <c r="R46" s="83">
        <f t="shared" ref="R46:R47" si="30">W46</f>
        <v>4000000</v>
      </c>
      <c r="S46" s="84">
        <v>0.02</v>
      </c>
      <c r="T46" s="83">
        <f t="shared" ref="T46:T47" si="31">R46*S46</f>
        <v>80000</v>
      </c>
      <c r="U46" s="86">
        <f>W46*0.1%</f>
        <v>4000</v>
      </c>
      <c r="V46" s="10"/>
      <c r="W46" s="83">
        <f t="shared" ref="W46:W47" si="32">(Y46*1000)/X46</f>
        <v>4000000</v>
      </c>
      <c r="X46" s="88">
        <v>0.75</v>
      </c>
      <c r="Y46" s="89">
        <v>3000.0</v>
      </c>
      <c r="Z46" s="90">
        <f t="shared" ref="Z46:Z48" si="33">Y46*3.76</f>
        <v>11280</v>
      </c>
    </row>
    <row r="47" ht="30.75" customHeight="1">
      <c r="A47" s="1"/>
      <c r="B47" s="72" t="s">
        <v>76</v>
      </c>
      <c r="C47" s="72" t="s">
        <v>59</v>
      </c>
      <c r="D47" s="72" t="s">
        <v>135</v>
      </c>
      <c r="E47" s="72" t="s">
        <v>60</v>
      </c>
      <c r="F47" s="72" t="s">
        <v>61</v>
      </c>
      <c r="G47" s="72" t="s">
        <v>62</v>
      </c>
      <c r="H47" s="72" t="s">
        <v>63</v>
      </c>
      <c r="I47" s="72" t="s">
        <v>86</v>
      </c>
      <c r="J47" s="76"/>
      <c r="K47" s="75">
        <v>4500000.0</v>
      </c>
      <c r="L47" s="79">
        <f t="shared" si="28"/>
        <v>0.2777777778</v>
      </c>
      <c r="M47" s="80">
        <f t="shared" si="29"/>
        <v>1250000</v>
      </c>
      <c r="N47" s="80">
        <v>2.0</v>
      </c>
      <c r="O47" s="72" t="s">
        <v>70</v>
      </c>
      <c r="P47" s="82" t="s">
        <v>71</v>
      </c>
      <c r="Q47" s="82" t="s">
        <v>72</v>
      </c>
      <c r="R47" s="83">
        <f t="shared" si="30"/>
        <v>2500000</v>
      </c>
      <c r="S47" s="84">
        <v>0.2</v>
      </c>
      <c r="T47" s="83">
        <f t="shared" si="31"/>
        <v>500000</v>
      </c>
      <c r="U47" s="86" t="s">
        <v>20</v>
      </c>
      <c r="V47" s="10"/>
      <c r="W47" s="83">
        <f t="shared" si="32"/>
        <v>2500000</v>
      </c>
      <c r="X47" s="88">
        <v>1.2</v>
      </c>
      <c r="Y47" s="89">
        <v>3000.0</v>
      </c>
      <c r="Z47" s="90">
        <f t="shared" si="33"/>
        <v>11280</v>
      </c>
    </row>
    <row r="48" ht="30.75" customHeight="1">
      <c r="A48" s="1"/>
      <c r="B48" s="72" t="s">
        <v>129</v>
      </c>
      <c r="C48" s="72" t="s">
        <v>130</v>
      </c>
      <c r="D48" s="72" t="s">
        <v>135</v>
      </c>
      <c r="E48" s="72" t="s">
        <v>20</v>
      </c>
      <c r="F48" s="72" t="s">
        <v>61</v>
      </c>
      <c r="G48" s="72" t="s">
        <v>132</v>
      </c>
      <c r="H48" s="72" t="s">
        <v>127</v>
      </c>
      <c r="I48" s="72" t="s">
        <v>86</v>
      </c>
      <c r="J48" s="56"/>
      <c r="K48" s="75" t="s">
        <v>20</v>
      </c>
      <c r="L48" s="75" t="s">
        <v>20</v>
      </c>
      <c r="M48" s="75" t="s">
        <v>20</v>
      </c>
      <c r="N48" s="75" t="s">
        <v>20</v>
      </c>
      <c r="O48" s="72" t="s">
        <v>90</v>
      </c>
      <c r="P48" s="82" t="s">
        <v>71</v>
      </c>
      <c r="Q48" s="82" t="s">
        <v>72</v>
      </c>
      <c r="R48" s="83">
        <f>U48</f>
        <v>10000</v>
      </c>
      <c r="S48" s="84" t="s">
        <v>20</v>
      </c>
      <c r="T48" s="84" t="s">
        <v>20</v>
      </c>
      <c r="U48" s="86">
        <f>Y48/X48</f>
        <v>10000</v>
      </c>
      <c r="V48" s="10"/>
      <c r="W48" s="83" t="s">
        <v>20</v>
      </c>
      <c r="X48" s="88">
        <v>0.4</v>
      </c>
      <c r="Y48" s="89">
        <v>4000.0</v>
      </c>
      <c r="Z48" s="90">
        <f t="shared" si="33"/>
        <v>15040</v>
      </c>
    </row>
    <row r="49" ht="15.0" customHeight="1">
      <c r="A49" s="1"/>
      <c r="B49" s="96" t="s">
        <v>144</v>
      </c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68"/>
      <c r="R49" s="98"/>
      <c r="S49" s="98"/>
      <c r="T49" s="99">
        <f t="shared" ref="T49:U49" si="34">SUM(T46:T48)</f>
        <v>580000</v>
      </c>
      <c r="U49" s="99">
        <f t="shared" si="34"/>
        <v>14000</v>
      </c>
      <c r="V49" s="1"/>
      <c r="W49" s="99">
        <f>SUM(W46:W48)</f>
        <v>6500000</v>
      </c>
      <c r="X49" s="99"/>
      <c r="Y49" s="100">
        <f t="shared" ref="Y49:Z49" si="35">SUM(Y46:Y48)</f>
        <v>10000</v>
      </c>
      <c r="Z49" s="101">
        <f t="shared" si="35"/>
        <v>37600</v>
      </c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7" t="s">
        <v>137</v>
      </c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68"/>
      <c r="V51" s="10"/>
      <c r="W51" s="112">
        <f>SUM(W29,W36)</f>
        <v>137444444.4</v>
      </c>
      <c r="X51" s="113"/>
      <c r="Y51" s="116">
        <f t="shared" ref="Y51:Z51" si="36">SUM(Y29,Y36,Y43,Y49)</f>
        <v>247500</v>
      </c>
      <c r="Z51" s="118">
        <f t="shared" si="36"/>
        <v>930600</v>
      </c>
    </row>
    <row r="52" ht="15.0" customHeight="1">
      <c r="A52" s="1"/>
      <c r="B52" s="67" t="s">
        <v>139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68"/>
      <c r="V52" s="10"/>
      <c r="W52" s="113"/>
      <c r="X52" s="113"/>
      <c r="Y52" s="116">
        <v>1500.0</v>
      </c>
      <c r="Z52" s="118">
        <f>Y52*3.76</f>
        <v>5640</v>
      </c>
    </row>
    <row r="53" ht="15.0" customHeight="1">
      <c r="A53" s="1"/>
      <c r="B53" s="121" t="s">
        <v>141</v>
      </c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68"/>
      <c r="V53" s="1"/>
      <c r="W53" s="122"/>
      <c r="X53" s="122"/>
      <c r="Y53" s="123">
        <f t="shared" ref="Y53:Z53" si="37">SUM(Y51:Y52)</f>
        <v>249000</v>
      </c>
      <c r="Z53" s="124">
        <f t="shared" si="37"/>
        <v>936240</v>
      </c>
    </row>
    <row r="54" ht="15.0" customHeight="1">
      <c r="A54" s="6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5"/>
      <c r="Y54" s="5"/>
      <c r="Z54" s="6"/>
    </row>
    <row r="55" ht="15.0" customHeight="1">
      <c r="A55" s="6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5"/>
      <c r="Y55" s="125"/>
      <c r="Z55" s="6">
        <f>Z53+'Song and Mascot Promotion'!AA38+'Phase 1 - Aug - Sept (Launch)'!Z53</f>
        <v>2771356.88</v>
      </c>
    </row>
    <row r="56" ht="52.5" customHeight="1">
      <c r="A56" s="6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5"/>
      <c r="Y56" s="5"/>
      <c r="Z56" s="6"/>
    </row>
    <row r="57" ht="19.5" customHeight="1">
      <c r="A57" s="6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5"/>
      <c r="Y57" s="5"/>
      <c r="Z57" s="6"/>
    </row>
    <row r="58" ht="19.5" customHeight="1">
      <c r="A58" s="6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5"/>
      <c r="Y58" s="5"/>
      <c r="Z58" s="6"/>
    </row>
    <row r="59" ht="19.5" customHeight="1">
      <c r="A59" s="6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5"/>
      <c r="Y59" s="5"/>
      <c r="Z59" s="6"/>
    </row>
    <row r="60" ht="19.5" customHeight="1">
      <c r="A60" s="6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5"/>
      <c r="Y60" s="5"/>
      <c r="Z60" s="6"/>
    </row>
    <row r="61" ht="19.5" customHeight="1">
      <c r="A61" s="6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5"/>
      <c r="Y61" s="5"/>
      <c r="Z61" s="6"/>
    </row>
    <row r="62" ht="19.5" customHeight="1">
      <c r="A62" s="6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5"/>
      <c r="Y62" s="5"/>
      <c r="Z62" s="6"/>
    </row>
    <row r="63" ht="19.5" customHeight="1">
      <c r="A63" s="6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5"/>
      <c r="Y63" s="5"/>
      <c r="Z63" s="6"/>
    </row>
    <row r="64" ht="19.5" customHeight="1">
      <c r="A64" s="6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5"/>
      <c r="Y64" s="5"/>
      <c r="Z64" s="6"/>
    </row>
    <row r="65" ht="19.5" customHeight="1">
      <c r="A65" s="6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5"/>
      <c r="Y65" s="5"/>
      <c r="Z65" s="6"/>
    </row>
    <row r="66" ht="19.5" customHeight="1">
      <c r="A66" s="6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5"/>
      <c r="Y66" s="5"/>
      <c r="Z66" s="6"/>
    </row>
    <row r="67" ht="19.5" customHeight="1">
      <c r="A67" s="6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5"/>
      <c r="Y67" s="5"/>
      <c r="Z67" s="6"/>
    </row>
    <row r="68" ht="19.5" customHeight="1">
      <c r="A68" s="6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5"/>
      <c r="Y68" s="5"/>
      <c r="Z68" s="6"/>
    </row>
    <row r="69" ht="19.5" customHeight="1">
      <c r="A69" s="6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5"/>
      <c r="Y69" s="5"/>
      <c r="Z69" s="6"/>
    </row>
    <row r="70" ht="51.7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5"/>
      <c r="Y70" s="5"/>
      <c r="Z70" s="6"/>
    </row>
    <row r="71" ht="51.7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5"/>
      <c r="Y71" s="5"/>
      <c r="Z71" s="6"/>
    </row>
    <row r="72" ht="51.7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5"/>
      <c r="Y72" s="5"/>
      <c r="Z72" s="6"/>
    </row>
    <row r="73" ht="51.7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5"/>
      <c r="Y73" s="5"/>
      <c r="Z73" s="6"/>
    </row>
    <row r="74" ht="51.7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5"/>
      <c r="Y74" s="5"/>
      <c r="Z74" s="6"/>
    </row>
    <row r="75" ht="51.7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5"/>
      <c r="Y75" s="5"/>
      <c r="Z75" s="6"/>
    </row>
    <row r="76" ht="51.7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5"/>
      <c r="Y76" s="5"/>
      <c r="Z76" s="6"/>
    </row>
    <row r="77" ht="51.7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5"/>
      <c r="Y77" s="5"/>
      <c r="Z77" s="6"/>
    </row>
    <row r="78" ht="51.7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5"/>
      <c r="Y78" s="5"/>
      <c r="Z78" s="6"/>
    </row>
    <row r="79" ht="51.7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5"/>
      <c r="Y79" s="5"/>
      <c r="Z79" s="6"/>
    </row>
    <row r="80" ht="51.7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5"/>
      <c r="Y80" s="5"/>
      <c r="Z80" s="6"/>
    </row>
    <row r="81" ht="51.7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5"/>
      <c r="Y81" s="5"/>
      <c r="Z81" s="6"/>
    </row>
    <row r="82" ht="51.7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5"/>
      <c r="Y82" s="5"/>
      <c r="Z82" s="6"/>
    </row>
    <row r="83" ht="51.7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5"/>
      <c r="Y83" s="5"/>
      <c r="Z83" s="6"/>
    </row>
    <row r="84" ht="51.7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5"/>
      <c r="Y84" s="5"/>
      <c r="Z84" s="6"/>
    </row>
    <row r="85" ht="51.7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5"/>
      <c r="Y85" s="5"/>
      <c r="Z85" s="6"/>
    </row>
    <row r="86" ht="51.7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5"/>
      <c r="Y86" s="5"/>
      <c r="Z86" s="6"/>
    </row>
    <row r="87" ht="51.7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5"/>
      <c r="Y87" s="5"/>
      <c r="Z87" s="6"/>
    </row>
    <row r="88" ht="51.7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5"/>
      <c r="Y88" s="5"/>
      <c r="Z88" s="6"/>
    </row>
    <row r="89" ht="51.7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5"/>
      <c r="Y89" s="5"/>
      <c r="Z89" s="6"/>
    </row>
    <row r="90" ht="51.7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5"/>
      <c r="Y90" s="5"/>
      <c r="Z90" s="6"/>
    </row>
    <row r="91" ht="51.7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5"/>
      <c r="Y91" s="5"/>
      <c r="Z91" s="6"/>
    </row>
    <row r="92" ht="51.7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5"/>
      <c r="Y92" s="5"/>
      <c r="Z92" s="6"/>
    </row>
    <row r="93" ht="51.7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5"/>
      <c r="Y93" s="5"/>
      <c r="Z93" s="6"/>
    </row>
    <row r="94" ht="51.7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5"/>
      <c r="Y94" s="5"/>
      <c r="Z94" s="6"/>
    </row>
    <row r="95" ht="51.7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5"/>
      <c r="Y95" s="5"/>
      <c r="Z95" s="6"/>
    </row>
    <row r="96" ht="51.7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5"/>
      <c r="Y96" s="5"/>
      <c r="Z96" s="6"/>
    </row>
    <row r="97" ht="51.7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5"/>
      <c r="Y97" s="5"/>
      <c r="Z97" s="6"/>
    </row>
    <row r="98" ht="51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5"/>
      <c r="Y98" s="5"/>
      <c r="Z98" s="6"/>
    </row>
    <row r="99" ht="51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5"/>
      <c r="Y99" s="5"/>
      <c r="Z99" s="6"/>
    </row>
    <row r="100" ht="51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5"/>
      <c r="Y100" s="5"/>
      <c r="Z100" s="6"/>
    </row>
    <row r="101" ht="51.7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5"/>
      <c r="Y101" s="5"/>
      <c r="Z101" s="6"/>
    </row>
    <row r="102" ht="51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5"/>
      <c r="Y102" s="5"/>
      <c r="Z102" s="6"/>
    </row>
    <row r="103" ht="51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5"/>
      <c r="Y103" s="5"/>
      <c r="Z103" s="6"/>
    </row>
    <row r="104" ht="51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5"/>
      <c r="Y104" s="5"/>
      <c r="Z104" s="6"/>
    </row>
    <row r="105" ht="51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5"/>
      <c r="Y105" s="5"/>
      <c r="Z105" s="6"/>
    </row>
    <row r="106" ht="51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5"/>
      <c r="Y106" s="5"/>
      <c r="Z106" s="6"/>
    </row>
    <row r="107" ht="51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5"/>
      <c r="Y107" s="5"/>
      <c r="Z107" s="6"/>
    </row>
    <row r="108" ht="51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5"/>
      <c r="Y108" s="5"/>
      <c r="Z108" s="6"/>
    </row>
    <row r="109" ht="51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5"/>
      <c r="Y109" s="5"/>
      <c r="Z109" s="6"/>
    </row>
    <row r="110" ht="51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5"/>
      <c r="Y110" s="5"/>
      <c r="Z110" s="6"/>
    </row>
    <row r="111" ht="51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5"/>
      <c r="Y111" s="5"/>
      <c r="Z111" s="6"/>
    </row>
    <row r="112" ht="51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5"/>
      <c r="Y112" s="5"/>
      <c r="Z112" s="6"/>
    </row>
    <row r="113" ht="51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5"/>
      <c r="Y113" s="5"/>
      <c r="Z113" s="6"/>
    </row>
    <row r="114" ht="51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5"/>
      <c r="Y114" s="5"/>
      <c r="Z114" s="6"/>
    </row>
    <row r="115" ht="51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5"/>
      <c r="Y115" s="5"/>
      <c r="Z115" s="6"/>
    </row>
    <row r="116" ht="51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5"/>
      <c r="Y116" s="5"/>
      <c r="Z116" s="6"/>
    </row>
    <row r="117" ht="51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5"/>
      <c r="Y117" s="5"/>
      <c r="Z117" s="6"/>
    </row>
    <row r="118" ht="51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5"/>
      <c r="Y118" s="5"/>
      <c r="Z118" s="6"/>
    </row>
    <row r="119" ht="51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5"/>
      <c r="Y119" s="5"/>
      <c r="Z119" s="6"/>
    </row>
    <row r="120" ht="51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5"/>
      <c r="Y120" s="5"/>
      <c r="Z120" s="6"/>
    </row>
    <row r="121" ht="51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5"/>
      <c r="Y121" s="5"/>
      <c r="Z121" s="6"/>
    </row>
    <row r="122" ht="51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5"/>
      <c r="Y122" s="5"/>
      <c r="Z122" s="6"/>
    </row>
    <row r="123" ht="51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5"/>
      <c r="Y123" s="5"/>
      <c r="Z123" s="6"/>
    </row>
    <row r="124" ht="51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5"/>
      <c r="Y124" s="5"/>
      <c r="Z124" s="6"/>
    </row>
    <row r="125" ht="51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5"/>
      <c r="Y125" s="5"/>
      <c r="Z125" s="6"/>
    </row>
    <row r="126" ht="51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5"/>
      <c r="Y126" s="5"/>
      <c r="Z126" s="6"/>
    </row>
    <row r="127" ht="51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5"/>
      <c r="Y127" s="5"/>
      <c r="Z127" s="6"/>
    </row>
    <row r="128" ht="51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5"/>
      <c r="Y128" s="5"/>
      <c r="Z128" s="6"/>
    </row>
    <row r="129" ht="51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5"/>
      <c r="Y129" s="5"/>
      <c r="Z129" s="6"/>
    </row>
    <row r="130" ht="51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5"/>
      <c r="Y130" s="5"/>
      <c r="Z130" s="6"/>
    </row>
    <row r="131" ht="51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5"/>
      <c r="Y131" s="5"/>
      <c r="Z131" s="6"/>
    </row>
    <row r="132" ht="51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5"/>
      <c r="Y132" s="5"/>
      <c r="Z132" s="6"/>
    </row>
    <row r="133" ht="51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5"/>
      <c r="Y133" s="5"/>
      <c r="Z133" s="6"/>
    </row>
    <row r="134" ht="51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5"/>
      <c r="Y134" s="5"/>
      <c r="Z134" s="6"/>
    </row>
    <row r="135" ht="51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5"/>
      <c r="Y135" s="5"/>
      <c r="Z135" s="6"/>
    </row>
    <row r="136" ht="51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5"/>
      <c r="Y136" s="5"/>
      <c r="Z136" s="6"/>
    </row>
    <row r="137" ht="51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5"/>
      <c r="Y137" s="5"/>
      <c r="Z137" s="6"/>
    </row>
    <row r="138" ht="51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5"/>
      <c r="Y138" s="5"/>
      <c r="Z138" s="6"/>
    </row>
    <row r="139" ht="51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5"/>
      <c r="Y139" s="5"/>
      <c r="Z139" s="6"/>
    </row>
    <row r="140" ht="51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5"/>
      <c r="Y140" s="5"/>
      <c r="Z140" s="6"/>
    </row>
    <row r="141" ht="51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5"/>
      <c r="Y141" s="5"/>
      <c r="Z141" s="6"/>
    </row>
    <row r="142" ht="51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5"/>
      <c r="Y142" s="5"/>
      <c r="Z142" s="6"/>
    </row>
    <row r="143" ht="51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5"/>
      <c r="Y143" s="5"/>
      <c r="Z143" s="6"/>
    </row>
    <row r="144" ht="51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5"/>
      <c r="Y144" s="5"/>
      <c r="Z144" s="6"/>
    </row>
    <row r="145" ht="51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5"/>
      <c r="Y145" s="5"/>
      <c r="Z145" s="6"/>
    </row>
    <row r="146" ht="51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5"/>
      <c r="Y146" s="5"/>
      <c r="Z146" s="6"/>
    </row>
    <row r="147" ht="51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5"/>
      <c r="Y147" s="5"/>
      <c r="Z147" s="6"/>
    </row>
    <row r="148" ht="51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5"/>
      <c r="Y148" s="5"/>
      <c r="Z148" s="6"/>
    </row>
    <row r="149" ht="51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5"/>
      <c r="Y149" s="5"/>
      <c r="Z149" s="6"/>
    </row>
    <row r="150" ht="51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5"/>
      <c r="Y150" s="5"/>
      <c r="Z150" s="6"/>
    </row>
    <row r="151" ht="51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5"/>
      <c r="Y151" s="5"/>
      <c r="Z151" s="6"/>
    </row>
    <row r="152" ht="51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5"/>
      <c r="Y152" s="5"/>
      <c r="Z152" s="6"/>
    </row>
    <row r="153" ht="51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5"/>
      <c r="Y153" s="5"/>
      <c r="Z153" s="6"/>
    </row>
    <row r="154" ht="51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5"/>
      <c r="Y154" s="5"/>
      <c r="Z154" s="6"/>
    </row>
    <row r="155" ht="51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5"/>
      <c r="Y155" s="5"/>
      <c r="Z155" s="6"/>
    </row>
    <row r="156" ht="51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5"/>
      <c r="Y156" s="5"/>
      <c r="Z156" s="6"/>
    </row>
    <row r="157" ht="51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5"/>
      <c r="Y157" s="5"/>
      <c r="Z157" s="6"/>
    </row>
    <row r="158" ht="51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5"/>
      <c r="Y158" s="5"/>
      <c r="Z158" s="6"/>
    </row>
    <row r="159" ht="51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5"/>
      <c r="Y159" s="5"/>
      <c r="Z159" s="6"/>
    </row>
    <row r="160" ht="51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5"/>
      <c r="Y160" s="5"/>
      <c r="Z160" s="6"/>
    </row>
    <row r="161" ht="51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5"/>
      <c r="Y161" s="5"/>
      <c r="Z161" s="6"/>
    </row>
    <row r="162" ht="51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5"/>
      <c r="Y162" s="5"/>
      <c r="Z162" s="6"/>
    </row>
    <row r="163" ht="51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5"/>
      <c r="Y163" s="5"/>
      <c r="Z163" s="6"/>
    </row>
    <row r="164" ht="51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5"/>
      <c r="Y164" s="5"/>
      <c r="Z164" s="6"/>
    </row>
    <row r="165" ht="51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5"/>
      <c r="Y165" s="5"/>
      <c r="Z165" s="6"/>
    </row>
    <row r="166" ht="51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5"/>
      <c r="Y166" s="5"/>
      <c r="Z166" s="6"/>
    </row>
    <row r="167" ht="51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5"/>
      <c r="Y167" s="5"/>
      <c r="Z167" s="6"/>
    </row>
    <row r="168" ht="51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5"/>
      <c r="Y168" s="5"/>
      <c r="Z168" s="6"/>
    </row>
    <row r="169" ht="51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5"/>
      <c r="Y169" s="5"/>
      <c r="Z169" s="6"/>
    </row>
    <row r="170" ht="51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5"/>
      <c r="Y170" s="5"/>
      <c r="Z170" s="6"/>
    </row>
    <row r="171" ht="51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  <c r="X171" s="5"/>
      <c r="Y171" s="5"/>
      <c r="Z171" s="6"/>
    </row>
    <row r="172" ht="51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5"/>
      <c r="Y172" s="5"/>
      <c r="Z172" s="6"/>
    </row>
    <row r="173" ht="51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  <c r="X173" s="5"/>
      <c r="Y173" s="5"/>
      <c r="Z173" s="6"/>
    </row>
    <row r="174" ht="51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5"/>
      <c r="Y174" s="5"/>
      <c r="Z174" s="6"/>
    </row>
    <row r="175" ht="51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5"/>
      <c r="Y175" s="5"/>
      <c r="Z175" s="6"/>
    </row>
    <row r="176" ht="51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5"/>
      <c r="Y176" s="5"/>
      <c r="Z176" s="6"/>
    </row>
    <row r="177" ht="51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5"/>
      <c r="Y177" s="5"/>
      <c r="Z177" s="6"/>
    </row>
    <row r="178" ht="51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  <c r="X178" s="5"/>
      <c r="Y178" s="5"/>
      <c r="Z178" s="6"/>
    </row>
    <row r="179" ht="51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  <c r="X179" s="5"/>
      <c r="Y179" s="5"/>
      <c r="Z179" s="6"/>
    </row>
    <row r="180" ht="51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  <c r="X180" s="5"/>
      <c r="Y180" s="5"/>
      <c r="Z180" s="6"/>
    </row>
    <row r="181" ht="51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4"/>
      <c r="X181" s="5"/>
      <c r="Y181" s="5"/>
      <c r="Z181" s="6"/>
    </row>
    <row r="182" ht="51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5"/>
      <c r="Y182" s="5"/>
      <c r="Z182" s="6"/>
    </row>
    <row r="183" ht="51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  <c r="X183" s="5"/>
      <c r="Y183" s="5"/>
      <c r="Z183" s="6"/>
    </row>
    <row r="184" ht="51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5"/>
      <c r="Y184" s="5"/>
      <c r="Z184" s="6"/>
    </row>
    <row r="185" ht="51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5"/>
      <c r="Y185" s="5"/>
      <c r="Z185" s="6"/>
    </row>
    <row r="186" ht="51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5"/>
      <c r="Y186" s="5"/>
      <c r="Z186" s="6"/>
    </row>
    <row r="187" ht="51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5"/>
      <c r="Y187" s="5"/>
      <c r="Z187" s="6"/>
    </row>
    <row r="188" ht="51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5"/>
      <c r="Y188" s="5"/>
      <c r="Z188" s="6"/>
    </row>
    <row r="189" ht="51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5"/>
      <c r="Y189" s="5"/>
      <c r="Z189" s="6"/>
    </row>
    <row r="190" ht="51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5"/>
      <c r="Y190" s="5"/>
      <c r="Z190" s="6"/>
    </row>
    <row r="191" ht="51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5"/>
      <c r="Y191" s="5"/>
      <c r="Z191" s="6"/>
    </row>
    <row r="192" ht="51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5"/>
      <c r="Y192" s="5"/>
      <c r="Z192" s="6"/>
    </row>
    <row r="193" ht="51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5"/>
      <c r="Y193" s="5"/>
      <c r="Z193" s="6"/>
    </row>
    <row r="194" ht="51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5"/>
      <c r="Y194" s="5"/>
      <c r="Z194" s="6"/>
    </row>
    <row r="195" ht="51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5"/>
      <c r="Y195" s="5"/>
      <c r="Z195" s="6"/>
    </row>
    <row r="196" ht="51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  <c r="X196" s="5"/>
      <c r="Y196" s="5"/>
      <c r="Z196" s="6"/>
    </row>
    <row r="197" ht="51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4"/>
      <c r="X197" s="5"/>
      <c r="Y197" s="5"/>
      <c r="Z197" s="6"/>
    </row>
    <row r="198" ht="51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4"/>
      <c r="X198" s="5"/>
      <c r="Y198" s="5"/>
      <c r="Z198" s="6"/>
    </row>
    <row r="199" ht="51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4"/>
      <c r="X199" s="5"/>
      <c r="Y199" s="5"/>
      <c r="Z199" s="6"/>
    </row>
    <row r="200" ht="51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4"/>
      <c r="X200" s="5"/>
      <c r="Y200" s="5"/>
      <c r="Z200" s="6"/>
    </row>
    <row r="201" ht="51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4"/>
      <c r="X201" s="5"/>
      <c r="Y201" s="5"/>
      <c r="Z201" s="6"/>
    </row>
    <row r="202" ht="51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4"/>
      <c r="X202" s="5"/>
      <c r="Y202" s="5"/>
      <c r="Z202" s="6"/>
    </row>
    <row r="203" ht="51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4"/>
      <c r="X203" s="5"/>
      <c r="Y203" s="5"/>
      <c r="Z203" s="6"/>
    </row>
    <row r="204" ht="51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4"/>
      <c r="X204" s="5"/>
      <c r="Y204" s="5"/>
      <c r="Z204" s="6"/>
    </row>
    <row r="205" ht="51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4"/>
      <c r="X205" s="5"/>
      <c r="Y205" s="5"/>
      <c r="Z205" s="6"/>
    </row>
    <row r="206" ht="51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4"/>
      <c r="X206" s="5"/>
      <c r="Y206" s="5"/>
      <c r="Z206" s="6"/>
    </row>
    <row r="207" ht="51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4"/>
      <c r="X207" s="5"/>
      <c r="Y207" s="5"/>
      <c r="Z207" s="6"/>
    </row>
    <row r="208" ht="51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4"/>
      <c r="X208" s="5"/>
      <c r="Y208" s="5"/>
      <c r="Z208" s="6"/>
    </row>
    <row r="209" ht="51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4"/>
      <c r="X209" s="5"/>
      <c r="Y209" s="5"/>
      <c r="Z209" s="6"/>
    </row>
    <row r="210" ht="51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4"/>
      <c r="X210" s="5"/>
      <c r="Y210" s="5"/>
      <c r="Z210" s="6"/>
    </row>
    <row r="211" ht="51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4"/>
      <c r="X211" s="5"/>
      <c r="Y211" s="5"/>
      <c r="Z211" s="6"/>
    </row>
    <row r="212" ht="51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4"/>
      <c r="X212" s="5"/>
      <c r="Y212" s="5"/>
      <c r="Z212" s="6"/>
    </row>
    <row r="213" ht="51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4"/>
      <c r="X213" s="5"/>
      <c r="Y213" s="5"/>
      <c r="Z213" s="6"/>
    </row>
    <row r="214" ht="51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4"/>
      <c r="X214" s="5"/>
      <c r="Y214" s="5"/>
      <c r="Z214" s="6"/>
    </row>
    <row r="215" ht="51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4"/>
      <c r="X215" s="5"/>
      <c r="Y215" s="5"/>
      <c r="Z215" s="6"/>
    </row>
    <row r="216" ht="51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4"/>
      <c r="X216" s="5"/>
      <c r="Y216" s="5"/>
      <c r="Z216" s="6"/>
    </row>
    <row r="217" ht="51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4"/>
      <c r="X217" s="5"/>
      <c r="Y217" s="5"/>
      <c r="Z217" s="6"/>
    </row>
    <row r="218" ht="51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4"/>
      <c r="X218" s="5"/>
      <c r="Y218" s="5"/>
      <c r="Z218" s="6"/>
    </row>
    <row r="219" ht="51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4"/>
      <c r="X219" s="5"/>
      <c r="Y219" s="5"/>
      <c r="Z219" s="6"/>
    </row>
    <row r="220" ht="51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4"/>
      <c r="X220" s="5"/>
      <c r="Y220" s="5"/>
      <c r="Z220" s="6"/>
    </row>
    <row r="221" ht="51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4"/>
      <c r="X221" s="5"/>
      <c r="Y221" s="5"/>
      <c r="Z221" s="6"/>
    </row>
    <row r="222" ht="51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4"/>
      <c r="X222" s="5"/>
      <c r="Y222" s="5"/>
      <c r="Z222" s="6"/>
    </row>
    <row r="223" ht="51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4"/>
      <c r="X223" s="5"/>
      <c r="Y223" s="5"/>
      <c r="Z223" s="6"/>
    </row>
    <row r="224" ht="51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4"/>
      <c r="X224" s="5"/>
      <c r="Y224" s="5"/>
      <c r="Z224" s="6"/>
    </row>
    <row r="225" ht="51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4"/>
      <c r="X225" s="5"/>
      <c r="Y225" s="5"/>
      <c r="Z225" s="6"/>
    </row>
    <row r="226" ht="51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4"/>
      <c r="X226" s="5"/>
      <c r="Y226" s="5"/>
      <c r="Z226" s="6"/>
    </row>
    <row r="227" ht="51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4"/>
      <c r="X227" s="5"/>
      <c r="Y227" s="5"/>
      <c r="Z227" s="6"/>
    </row>
    <row r="228" ht="51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4"/>
      <c r="X228" s="5"/>
      <c r="Y228" s="5"/>
      <c r="Z228" s="6"/>
    </row>
    <row r="229" ht="51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4"/>
      <c r="X229" s="5"/>
      <c r="Y229" s="5"/>
      <c r="Z229" s="6"/>
    </row>
    <row r="230" ht="51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4"/>
      <c r="X230" s="5"/>
      <c r="Y230" s="5"/>
      <c r="Z230" s="6"/>
    </row>
    <row r="231" ht="51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4"/>
      <c r="X231" s="5"/>
      <c r="Y231" s="5"/>
      <c r="Z231" s="6"/>
    </row>
    <row r="232" ht="51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4"/>
      <c r="X232" s="5"/>
      <c r="Y232" s="5"/>
      <c r="Z232" s="6"/>
    </row>
    <row r="233" ht="51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4"/>
      <c r="X233" s="5"/>
      <c r="Y233" s="5"/>
      <c r="Z233" s="6"/>
    </row>
    <row r="234" ht="51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4"/>
      <c r="X234" s="5"/>
      <c r="Y234" s="5"/>
      <c r="Z234" s="6"/>
    </row>
    <row r="235" ht="51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4"/>
      <c r="X235" s="5"/>
      <c r="Y235" s="5"/>
      <c r="Z235" s="6"/>
    </row>
    <row r="236" ht="51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4"/>
      <c r="X236" s="5"/>
      <c r="Y236" s="5"/>
      <c r="Z236" s="6"/>
    </row>
    <row r="237" ht="51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4"/>
      <c r="X237" s="5"/>
      <c r="Y237" s="5"/>
      <c r="Z237" s="6"/>
    </row>
    <row r="238" ht="51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4"/>
      <c r="X238" s="5"/>
      <c r="Y238" s="5"/>
      <c r="Z238" s="6"/>
    </row>
    <row r="239" ht="51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4"/>
      <c r="X239" s="5"/>
      <c r="Y239" s="5"/>
      <c r="Z239" s="6"/>
    </row>
    <row r="240" ht="51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4"/>
      <c r="X240" s="5"/>
      <c r="Y240" s="5"/>
      <c r="Z240" s="6"/>
    </row>
    <row r="241" ht="51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4"/>
      <c r="X241" s="5"/>
      <c r="Y241" s="5"/>
      <c r="Z241" s="6"/>
    </row>
    <row r="242" ht="51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4"/>
      <c r="X242" s="5"/>
      <c r="Y242" s="5"/>
      <c r="Z242" s="6"/>
    </row>
    <row r="243" ht="51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4"/>
      <c r="X243" s="5"/>
      <c r="Y243" s="5"/>
      <c r="Z243" s="6"/>
    </row>
    <row r="244" ht="51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4"/>
      <c r="X244" s="5"/>
      <c r="Y244" s="5"/>
      <c r="Z244" s="6"/>
    </row>
    <row r="245" ht="51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4"/>
      <c r="X245" s="5"/>
      <c r="Y245" s="5"/>
      <c r="Z245" s="6"/>
    </row>
    <row r="246" ht="51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4"/>
      <c r="X246" s="5"/>
      <c r="Y246" s="5"/>
      <c r="Z246" s="6"/>
    </row>
    <row r="247" ht="51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4"/>
      <c r="X247" s="5"/>
      <c r="Y247" s="5"/>
      <c r="Z247" s="6"/>
    </row>
    <row r="248" ht="51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4"/>
      <c r="X248" s="5"/>
      <c r="Y248" s="5"/>
      <c r="Z248" s="6"/>
    </row>
    <row r="249" ht="51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4"/>
      <c r="X249" s="5"/>
      <c r="Y249" s="5"/>
      <c r="Z249" s="6"/>
    </row>
    <row r="250" ht="51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4"/>
      <c r="X250" s="5"/>
      <c r="Y250" s="5"/>
      <c r="Z250" s="6"/>
    </row>
    <row r="251" ht="51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4"/>
      <c r="X251" s="5"/>
      <c r="Y251" s="5"/>
      <c r="Z251" s="6"/>
    </row>
    <row r="252" ht="51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4"/>
      <c r="X252" s="5"/>
      <c r="Y252" s="5"/>
      <c r="Z252" s="6"/>
    </row>
    <row r="253" ht="51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4"/>
      <c r="X253" s="5"/>
      <c r="Y253" s="5"/>
      <c r="Z253" s="6"/>
    </row>
    <row r="254" ht="51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4"/>
      <c r="X254" s="5"/>
      <c r="Y254" s="5"/>
      <c r="Z254" s="6"/>
    </row>
    <row r="255" ht="51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4"/>
      <c r="X255" s="5"/>
      <c r="Y255" s="5"/>
      <c r="Z255" s="6"/>
    </row>
    <row r="256" ht="51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4"/>
      <c r="X256" s="5"/>
      <c r="Y256" s="5"/>
      <c r="Z256" s="6"/>
    </row>
    <row r="257" ht="51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4"/>
      <c r="X257" s="5"/>
      <c r="Y257" s="5"/>
      <c r="Z257" s="6"/>
    </row>
    <row r="258" ht="51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4"/>
      <c r="X258" s="5"/>
      <c r="Y258" s="5"/>
      <c r="Z258" s="6"/>
    </row>
    <row r="259" ht="51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4"/>
      <c r="X259" s="5"/>
      <c r="Y259" s="5"/>
      <c r="Z259" s="6"/>
    </row>
    <row r="260" ht="51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4"/>
      <c r="X260" s="5"/>
      <c r="Y260" s="5"/>
      <c r="Z260" s="6"/>
    </row>
    <row r="261" ht="51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4"/>
      <c r="X261" s="5"/>
      <c r="Y261" s="5"/>
      <c r="Z261" s="6"/>
    </row>
    <row r="262" ht="51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4"/>
      <c r="X262" s="5"/>
      <c r="Y262" s="5"/>
      <c r="Z262" s="6"/>
    </row>
    <row r="263" ht="51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4"/>
      <c r="X263" s="5"/>
      <c r="Y263" s="5"/>
      <c r="Z263" s="6"/>
    </row>
    <row r="264" ht="51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4"/>
      <c r="X264" s="5"/>
      <c r="Y264" s="5"/>
      <c r="Z264" s="6"/>
    </row>
    <row r="265" ht="51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4"/>
      <c r="X265" s="5"/>
      <c r="Y265" s="5"/>
      <c r="Z265" s="6"/>
    </row>
    <row r="266" ht="51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4"/>
      <c r="X266" s="5"/>
      <c r="Y266" s="5"/>
      <c r="Z266" s="6"/>
    </row>
    <row r="267" ht="51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4"/>
      <c r="X267" s="5"/>
      <c r="Y267" s="5"/>
      <c r="Z267" s="6"/>
    </row>
    <row r="268" ht="51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4"/>
      <c r="X268" s="5"/>
      <c r="Y268" s="5"/>
      <c r="Z268" s="6"/>
    </row>
    <row r="269" ht="51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4"/>
      <c r="X269" s="5"/>
      <c r="Y269" s="5"/>
      <c r="Z269" s="6"/>
    </row>
    <row r="270" ht="51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4"/>
      <c r="X270" s="5"/>
      <c r="Y270" s="5"/>
      <c r="Z270" s="6"/>
    </row>
    <row r="271" ht="51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4"/>
      <c r="X271" s="5"/>
      <c r="Y271" s="5"/>
      <c r="Z271" s="6"/>
    </row>
    <row r="272" ht="51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4"/>
      <c r="X272" s="5"/>
      <c r="Y272" s="5"/>
      <c r="Z272" s="6"/>
    </row>
    <row r="273" ht="51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4"/>
      <c r="X273" s="5"/>
      <c r="Y273" s="5"/>
      <c r="Z273" s="6"/>
    </row>
    <row r="274" ht="51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4"/>
      <c r="X274" s="5"/>
      <c r="Y274" s="5"/>
      <c r="Z274" s="6"/>
    </row>
    <row r="275" ht="51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4"/>
      <c r="X275" s="5"/>
      <c r="Y275" s="5"/>
      <c r="Z275" s="6"/>
    </row>
    <row r="276" ht="51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4"/>
      <c r="X276" s="5"/>
      <c r="Y276" s="5"/>
      <c r="Z276" s="6"/>
    </row>
    <row r="277" ht="51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4"/>
      <c r="X277" s="5"/>
      <c r="Y277" s="5"/>
      <c r="Z277" s="6"/>
    </row>
    <row r="278" ht="51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4"/>
      <c r="X278" s="5"/>
      <c r="Y278" s="5"/>
      <c r="Z278" s="6"/>
    </row>
    <row r="279" ht="51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4"/>
      <c r="X279" s="5"/>
      <c r="Y279" s="5"/>
      <c r="Z279" s="6"/>
    </row>
    <row r="280" ht="51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4"/>
      <c r="X280" s="5"/>
      <c r="Y280" s="5"/>
      <c r="Z280" s="6"/>
    </row>
    <row r="281" ht="51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4"/>
      <c r="X281" s="5"/>
      <c r="Y281" s="5"/>
      <c r="Z281" s="6"/>
    </row>
    <row r="282" ht="51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4"/>
      <c r="X282" s="5"/>
      <c r="Y282" s="5"/>
      <c r="Z282" s="6"/>
    </row>
    <row r="283" ht="51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4"/>
      <c r="X283" s="5"/>
      <c r="Y283" s="5"/>
      <c r="Z283" s="6"/>
    </row>
    <row r="284" ht="51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4"/>
      <c r="X284" s="5"/>
      <c r="Y284" s="5"/>
      <c r="Z284" s="6"/>
    </row>
    <row r="285" ht="51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4"/>
      <c r="X285" s="5"/>
      <c r="Y285" s="5"/>
      <c r="Z285" s="6"/>
    </row>
    <row r="286" ht="51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4"/>
      <c r="X286" s="5"/>
      <c r="Y286" s="5"/>
      <c r="Z286" s="6"/>
    </row>
    <row r="287" ht="51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4"/>
      <c r="X287" s="5"/>
      <c r="Y287" s="5"/>
      <c r="Z287" s="6"/>
    </row>
    <row r="288" ht="51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4"/>
      <c r="X288" s="5"/>
      <c r="Y288" s="5"/>
      <c r="Z288" s="6"/>
    </row>
    <row r="289" ht="51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4"/>
      <c r="X289" s="5"/>
      <c r="Y289" s="5"/>
      <c r="Z289" s="6"/>
    </row>
    <row r="290" ht="51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4"/>
      <c r="X290" s="5"/>
      <c r="Y290" s="5"/>
      <c r="Z290" s="6"/>
    </row>
    <row r="291" ht="51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4"/>
      <c r="X291" s="5"/>
      <c r="Y291" s="5"/>
      <c r="Z291" s="6"/>
    </row>
    <row r="292" ht="51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4"/>
      <c r="X292" s="5"/>
      <c r="Y292" s="5"/>
      <c r="Z292" s="6"/>
    </row>
    <row r="293" ht="51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4"/>
      <c r="X293" s="5"/>
      <c r="Y293" s="5"/>
      <c r="Z293" s="6"/>
    </row>
    <row r="294" ht="51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4"/>
      <c r="X294" s="5"/>
      <c r="Y294" s="5"/>
      <c r="Z294" s="6"/>
    </row>
    <row r="295" ht="51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4"/>
      <c r="X295" s="5"/>
      <c r="Y295" s="5"/>
      <c r="Z295" s="6"/>
    </row>
    <row r="296" ht="51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4"/>
      <c r="X296" s="5"/>
      <c r="Y296" s="5"/>
      <c r="Z296" s="6"/>
    </row>
    <row r="297" ht="51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4"/>
      <c r="X297" s="5"/>
      <c r="Y297" s="5"/>
      <c r="Z297" s="6"/>
    </row>
    <row r="298" ht="51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4"/>
      <c r="X298" s="5"/>
      <c r="Y298" s="5"/>
      <c r="Z298" s="6"/>
    </row>
    <row r="299" ht="51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4"/>
      <c r="X299" s="5"/>
      <c r="Y299" s="5"/>
      <c r="Z299" s="6"/>
    </row>
    <row r="300" ht="51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4"/>
      <c r="X300" s="5"/>
      <c r="Y300" s="5"/>
      <c r="Z300" s="6"/>
    </row>
    <row r="301" ht="51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4"/>
      <c r="X301" s="5"/>
      <c r="Y301" s="5"/>
      <c r="Z301" s="6"/>
    </row>
    <row r="302" ht="51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4"/>
      <c r="X302" s="5"/>
      <c r="Y302" s="5"/>
      <c r="Z302" s="6"/>
    </row>
    <row r="303" ht="51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4"/>
      <c r="X303" s="5"/>
      <c r="Y303" s="5"/>
      <c r="Z303" s="6"/>
    </row>
    <row r="304" ht="51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4"/>
      <c r="X304" s="5"/>
      <c r="Y304" s="5"/>
      <c r="Z304" s="6"/>
    </row>
    <row r="305" ht="51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4"/>
      <c r="X305" s="5"/>
      <c r="Y305" s="5"/>
      <c r="Z305" s="6"/>
    </row>
    <row r="306" ht="51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4"/>
      <c r="X306" s="5"/>
      <c r="Y306" s="5"/>
      <c r="Z306" s="6"/>
    </row>
    <row r="307" ht="51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4"/>
      <c r="X307" s="5"/>
      <c r="Y307" s="5"/>
      <c r="Z307" s="6"/>
    </row>
    <row r="308" ht="51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4"/>
      <c r="X308" s="5"/>
      <c r="Y308" s="5"/>
      <c r="Z308" s="6"/>
    </row>
    <row r="309" ht="51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4"/>
      <c r="X309" s="5"/>
      <c r="Y309" s="5"/>
      <c r="Z309" s="6"/>
    </row>
    <row r="310" ht="51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4"/>
      <c r="X310" s="5"/>
      <c r="Y310" s="5"/>
      <c r="Z310" s="6"/>
    </row>
    <row r="311" ht="51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4"/>
      <c r="X311" s="5"/>
      <c r="Y311" s="5"/>
      <c r="Z311" s="6"/>
    </row>
    <row r="312" ht="51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4"/>
      <c r="X312" s="5"/>
      <c r="Y312" s="5"/>
      <c r="Z312" s="6"/>
    </row>
    <row r="313" ht="51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4"/>
      <c r="X313" s="5"/>
      <c r="Y313" s="5"/>
      <c r="Z313" s="6"/>
    </row>
    <row r="314" ht="51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4"/>
      <c r="X314" s="5"/>
      <c r="Y314" s="5"/>
      <c r="Z314" s="6"/>
    </row>
    <row r="315" ht="51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4"/>
      <c r="X315" s="5"/>
      <c r="Y315" s="5"/>
      <c r="Z315" s="6"/>
    </row>
    <row r="316" ht="51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4"/>
      <c r="X316" s="5"/>
      <c r="Y316" s="5"/>
      <c r="Z316" s="6"/>
    </row>
    <row r="317" ht="51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4"/>
      <c r="X317" s="5"/>
      <c r="Y317" s="5"/>
      <c r="Z317" s="6"/>
    </row>
    <row r="318" ht="51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4"/>
      <c r="X318" s="5"/>
      <c r="Y318" s="5"/>
      <c r="Z318" s="6"/>
    </row>
    <row r="319" ht="51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4"/>
      <c r="X319" s="5"/>
      <c r="Y319" s="5"/>
      <c r="Z319" s="6"/>
    </row>
    <row r="320" ht="51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4"/>
      <c r="X320" s="5"/>
      <c r="Y320" s="5"/>
      <c r="Z320" s="6"/>
    </row>
    <row r="321" ht="51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4"/>
      <c r="X321" s="5"/>
      <c r="Y321" s="5"/>
      <c r="Z321" s="6"/>
    </row>
    <row r="322" ht="51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4"/>
      <c r="X322" s="5"/>
      <c r="Y322" s="5"/>
      <c r="Z322" s="6"/>
    </row>
    <row r="323" ht="51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4"/>
      <c r="X323" s="5"/>
      <c r="Y323" s="5"/>
      <c r="Z323" s="6"/>
    </row>
    <row r="324" ht="51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4"/>
      <c r="X324" s="5"/>
      <c r="Y324" s="5"/>
      <c r="Z324" s="6"/>
    </row>
    <row r="325" ht="51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4"/>
      <c r="X325" s="5"/>
      <c r="Y325" s="5"/>
      <c r="Z325" s="6"/>
    </row>
    <row r="326" ht="51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4"/>
      <c r="X326" s="5"/>
      <c r="Y326" s="5"/>
      <c r="Z326" s="6"/>
    </row>
    <row r="327" ht="51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4"/>
      <c r="X327" s="5"/>
      <c r="Y327" s="5"/>
      <c r="Z327" s="6"/>
    </row>
    <row r="328" ht="51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4"/>
      <c r="X328" s="5"/>
      <c r="Y328" s="5"/>
      <c r="Z328" s="6"/>
    </row>
    <row r="329" ht="51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4"/>
      <c r="X329" s="5"/>
      <c r="Y329" s="5"/>
      <c r="Z329" s="6"/>
    </row>
    <row r="330" ht="51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4"/>
      <c r="X330" s="5"/>
      <c r="Y330" s="5"/>
      <c r="Z330" s="6"/>
    </row>
    <row r="331" ht="51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4"/>
      <c r="X331" s="5"/>
      <c r="Y331" s="5"/>
      <c r="Z331" s="6"/>
    </row>
    <row r="332" ht="51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4"/>
      <c r="X332" s="5"/>
      <c r="Y332" s="5"/>
      <c r="Z332" s="6"/>
    </row>
    <row r="333" ht="51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4"/>
      <c r="X333" s="5"/>
      <c r="Y333" s="5"/>
      <c r="Z333" s="6"/>
    </row>
    <row r="334" ht="51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4"/>
      <c r="X334" s="5"/>
      <c r="Y334" s="5"/>
      <c r="Z334" s="6"/>
    </row>
    <row r="335" ht="51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4"/>
      <c r="X335" s="5"/>
      <c r="Y335" s="5"/>
      <c r="Z335" s="6"/>
    </row>
    <row r="336" ht="51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4"/>
      <c r="X336" s="5"/>
      <c r="Y336" s="5"/>
      <c r="Z336" s="6"/>
    </row>
    <row r="337" ht="51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4"/>
      <c r="X337" s="5"/>
      <c r="Y337" s="5"/>
      <c r="Z337" s="6"/>
    </row>
    <row r="338" ht="51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4"/>
      <c r="X338" s="5"/>
      <c r="Y338" s="5"/>
      <c r="Z338" s="6"/>
    </row>
    <row r="339" ht="51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4"/>
      <c r="X339" s="5"/>
      <c r="Y339" s="5"/>
      <c r="Z339" s="6"/>
    </row>
    <row r="340" ht="51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4"/>
      <c r="X340" s="5"/>
      <c r="Y340" s="5"/>
      <c r="Z340" s="6"/>
    </row>
    <row r="341" ht="51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4"/>
      <c r="X341" s="5"/>
      <c r="Y341" s="5"/>
      <c r="Z341" s="6"/>
    </row>
    <row r="342" ht="51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4"/>
      <c r="X342" s="5"/>
      <c r="Y342" s="5"/>
      <c r="Z342" s="6"/>
    </row>
    <row r="343" ht="51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4"/>
      <c r="X343" s="5"/>
      <c r="Y343" s="5"/>
      <c r="Z343" s="6"/>
    </row>
    <row r="344" ht="51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4"/>
      <c r="X344" s="5"/>
      <c r="Y344" s="5"/>
      <c r="Z344" s="6"/>
    </row>
    <row r="345" ht="51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4"/>
      <c r="X345" s="5"/>
      <c r="Y345" s="5"/>
      <c r="Z345" s="6"/>
    </row>
    <row r="346" ht="51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4"/>
      <c r="X346" s="5"/>
      <c r="Y346" s="5"/>
      <c r="Z346" s="6"/>
    </row>
    <row r="347" ht="51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4"/>
      <c r="X347" s="5"/>
      <c r="Y347" s="5"/>
      <c r="Z347" s="6"/>
    </row>
    <row r="348" ht="51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4"/>
      <c r="X348" s="5"/>
      <c r="Y348" s="5"/>
      <c r="Z348" s="6"/>
    </row>
    <row r="349" ht="51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4"/>
      <c r="X349" s="5"/>
      <c r="Y349" s="5"/>
      <c r="Z349" s="6"/>
    </row>
    <row r="350" ht="51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4"/>
      <c r="X350" s="5"/>
      <c r="Y350" s="5"/>
      <c r="Z350" s="6"/>
    </row>
    <row r="351" ht="51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4"/>
      <c r="X351" s="5"/>
      <c r="Y351" s="5"/>
      <c r="Z351" s="6"/>
    </row>
    <row r="352" ht="51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4"/>
      <c r="X352" s="5"/>
      <c r="Y352" s="5"/>
      <c r="Z352" s="6"/>
    </row>
    <row r="353" ht="51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4"/>
      <c r="X353" s="5"/>
      <c r="Y353" s="5"/>
      <c r="Z353" s="6"/>
    </row>
    <row r="354" ht="51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4"/>
      <c r="X354" s="5"/>
      <c r="Y354" s="5"/>
      <c r="Z354" s="6"/>
    </row>
    <row r="355" ht="51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4"/>
      <c r="X355" s="5"/>
      <c r="Y355" s="5"/>
      <c r="Z355" s="6"/>
    </row>
    <row r="356" ht="51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4"/>
      <c r="X356" s="5"/>
      <c r="Y356" s="5"/>
      <c r="Z356" s="6"/>
    </row>
    <row r="357" ht="51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4"/>
      <c r="X357" s="5"/>
      <c r="Y357" s="5"/>
      <c r="Z357" s="6"/>
    </row>
    <row r="358" ht="51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4"/>
      <c r="X358" s="5"/>
      <c r="Y358" s="5"/>
      <c r="Z358" s="6"/>
    </row>
    <row r="359" ht="51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4"/>
      <c r="X359" s="5"/>
      <c r="Y359" s="5"/>
      <c r="Z359" s="6"/>
    </row>
    <row r="360" ht="51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4"/>
      <c r="X360" s="5"/>
      <c r="Y360" s="5"/>
      <c r="Z360" s="6"/>
    </row>
    <row r="361" ht="51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4"/>
      <c r="X361" s="5"/>
      <c r="Y361" s="5"/>
      <c r="Z361" s="6"/>
    </row>
    <row r="362" ht="51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4"/>
      <c r="X362" s="5"/>
      <c r="Y362" s="5"/>
      <c r="Z362" s="6"/>
    </row>
    <row r="363" ht="51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4"/>
      <c r="X363" s="5"/>
      <c r="Y363" s="5"/>
      <c r="Z363" s="6"/>
    </row>
    <row r="364" ht="51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4"/>
      <c r="X364" s="5"/>
      <c r="Y364" s="5"/>
      <c r="Z364" s="6"/>
    </row>
    <row r="365" ht="51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4"/>
      <c r="X365" s="5"/>
      <c r="Y365" s="5"/>
      <c r="Z365" s="6"/>
    </row>
    <row r="366" ht="51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4"/>
      <c r="X366" s="5"/>
      <c r="Y366" s="5"/>
      <c r="Z366" s="6"/>
    </row>
    <row r="367" ht="51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4"/>
      <c r="X367" s="5"/>
      <c r="Y367" s="5"/>
      <c r="Z367" s="6"/>
    </row>
    <row r="368" ht="51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4"/>
      <c r="X368" s="5"/>
      <c r="Y368" s="5"/>
      <c r="Z368" s="6"/>
    </row>
    <row r="369" ht="51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4"/>
      <c r="X369" s="5"/>
      <c r="Y369" s="5"/>
      <c r="Z369" s="6"/>
    </row>
    <row r="370" ht="51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4"/>
      <c r="X370" s="5"/>
      <c r="Y370" s="5"/>
      <c r="Z370" s="6"/>
    </row>
    <row r="371" ht="51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4"/>
      <c r="X371" s="5"/>
      <c r="Y371" s="5"/>
      <c r="Z371" s="6"/>
    </row>
    <row r="372" ht="51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4"/>
      <c r="X372" s="5"/>
      <c r="Y372" s="5"/>
      <c r="Z372" s="6"/>
    </row>
    <row r="373" ht="51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4"/>
      <c r="X373" s="5"/>
      <c r="Y373" s="5"/>
      <c r="Z373" s="6"/>
    </row>
    <row r="374" ht="51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4"/>
      <c r="X374" s="5"/>
      <c r="Y374" s="5"/>
      <c r="Z374" s="6"/>
    </row>
    <row r="375" ht="51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4"/>
      <c r="X375" s="5"/>
      <c r="Y375" s="5"/>
      <c r="Z375" s="6"/>
    </row>
    <row r="376" ht="51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4"/>
      <c r="X376" s="5"/>
      <c r="Y376" s="5"/>
      <c r="Z376" s="6"/>
    </row>
    <row r="377" ht="51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4"/>
      <c r="X377" s="5"/>
      <c r="Y377" s="5"/>
      <c r="Z377" s="6"/>
    </row>
    <row r="378" ht="51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4"/>
      <c r="X378" s="5"/>
      <c r="Y378" s="5"/>
      <c r="Z378" s="6"/>
    </row>
    <row r="379" ht="51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4"/>
      <c r="X379" s="5"/>
      <c r="Y379" s="5"/>
      <c r="Z379" s="6"/>
    </row>
    <row r="380" ht="51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4"/>
      <c r="X380" s="5"/>
      <c r="Y380" s="5"/>
      <c r="Z380" s="6"/>
    </row>
    <row r="381" ht="51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4"/>
      <c r="X381" s="5"/>
      <c r="Y381" s="5"/>
      <c r="Z381" s="6"/>
    </row>
    <row r="382" ht="51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4"/>
      <c r="X382" s="5"/>
      <c r="Y382" s="5"/>
      <c r="Z382" s="6"/>
    </row>
    <row r="383" ht="51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4"/>
      <c r="X383" s="5"/>
      <c r="Y383" s="5"/>
      <c r="Z383" s="6"/>
    </row>
    <row r="384" ht="51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4"/>
      <c r="X384" s="5"/>
      <c r="Y384" s="5"/>
      <c r="Z384" s="6"/>
    </row>
    <row r="385" ht="51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4"/>
      <c r="X385" s="5"/>
      <c r="Y385" s="5"/>
      <c r="Z385" s="6"/>
    </row>
    <row r="386" ht="51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4"/>
      <c r="X386" s="5"/>
      <c r="Y386" s="5"/>
      <c r="Z386" s="6"/>
    </row>
    <row r="387" ht="51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4"/>
      <c r="X387" s="5"/>
      <c r="Y387" s="5"/>
      <c r="Z387" s="6"/>
    </row>
    <row r="388" ht="51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4"/>
      <c r="X388" s="5"/>
      <c r="Y388" s="5"/>
      <c r="Z388" s="6"/>
    </row>
    <row r="389" ht="51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4"/>
      <c r="X389" s="5"/>
      <c r="Y389" s="5"/>
      <c r="Z389" s="6"/>
    </row>
    <row r="390" ht="51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4"/>
      <c r="X390" s="5"/>
      <c r="Y390" s="5"/>
      <c r="Z390" s="6"/>
    </row>
    <row r="391" ht="51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4"/>
      <c r="X391" s="5"/>
      <c r="Y391" s="5"/>
      <c r="Z391" s="6"/>
    </row>
    <row r="392" ht="51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4"/>
      <c r="X392" s="5"/>
      <c r="Y392" s="5"/>
      <c r="Z392" s="6"/>
    </row>
    <row r="393" ht="51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4"/>
      <c r="X393" s="5"/>
      <c r="Y393" s="5"/>
      <c r="Z393" s="6"/>
    </row>
    <row r="394" ht="51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4"/>
      <c r="X394" s="5"/>
      <c r="Y394" s="5"/>
      <c r="Z394" s="6"/>
    </row>
    <row r="395" ht="51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4"/>
      <c r="X395" s="5"/>
      <c r="Y395" s="5"/>
      <c r="Z395" s="6"/>
    </row>
    <row r="396" ht="51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4"/>
      <c r="X396" s="5"/>
      <c r="Y396" s="5"/>
      <c r="Z396" s="6"/>
    </row>
    <row r="397" ht="51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4"/>
      <c r="X397" s="5"/>
      <c r="Y397" s="5"/>
      <c r="Z397" s="6"/>
    </row>
    <row r="398" ht="51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4"/>
      <c r="X398" s="5"/>
      <c r="Y398" s="5"/>
      <c r="Z398" s="6"/>
    </row>
    <row r="399" ht="51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4"/>
      <c r="X399" s="5"/>
      <c r="Y399" s="5"/>
      <c r="Z399" s="6"/>
    </row>
    <row r="400" ht="51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4"/>
      <c r="X400" s="5"/>
      <c r="Y400" s="5"/>
      <c r="Z400" s="6"/>
    </row>
    <row r="401" ht="51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4"/>
      <c r="X401" s="5"/>
      <c r="Y401" s="5"/>
      <c r="Z401" s="6"/>
    </row>
    <row r="402" ht="51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4"/>
      <c r="X402" s="5"/>
      <c r="Y402" s="5"/>
      <c r="Z402" s="6"/>
    </row>
    <row r="403" ht="51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4"/>
      <c r="X403" s="5"/>
      <c r="Y403" s="5"/>
      <c r="Z403" s="6"/>
    </row>
    <row r="404" ht="51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4"/>
      <c r="X404" s="5"/>
      <c r="Y404" s="5"/>
      <c r="Z404" s="6"/>
    </row>
    <row r="405" ht="51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4"/>
      <c r="X405" s="5"/>
      <c r="Y405" s="5"/>
      <c r="Z405" s="6"/>
    </row>
    <row r="406" ht="51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4"/>
      <c r="X406" s="5"/>
      <c r="Y406" s="5"/>
      <c r="Z406" s="6"/>
    </row>
    <row r="407" ht="51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4"/>
      <c r="X407" s="5"/>
      <c r="Y407" s="5"/>
      <c r="Z407" s="6"/>
    </row>
    <row r="408" ht="51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4"/>
      <c r="X408" s="5"/>
      <c r="Y408" s="5"/>
      <c r="Z408" s="6"/>
    </row>
    <row r="409" ht="51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4"/>
      <c r="X409" s="5"/>
      <c r="Y409" s="5"/>
      <c r="Z409" s="6"/>
    </row>
    <row r="410" ht="51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4"/>
      <c r="X410" s="5"/>
      <c r="Y410" s="5"/>
      <c r="Z410" s="6"/>
    </row>
    <row r="411" ht="51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4"/>
      <c r="X411" s="5"/>
      <c r="Y411" s="5"/>
      <c r="Z411" s="6"/>
    </row>
    <row r="412" ht="51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4"/>
      <c r="X412" s="5"/>
      <c r="Y412" s="5"/>
      <c r="Z412" s="6"/>
    </row>
    <row r="413" ht="51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4"/>
      <c r="X413" s="5"/>
      <c r="Y413" s="5"/>
      <c r="Z413" s="6"/>
    </row>
    <row r="414" ht="51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4"/>
      <c r="X414" s="5"/>
      <c r="Y414" s="5"/>
      <c r="Z414" s="6"/>
    </row>
    <row r="415" ht="51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4"/>
      <c r="X415" s="5"/>
      <c r="Y415" s="5"/>
      <c r="Z415" s="6"/>
    </row>
    <row r="416" ht="51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4"/>
      <c r="X416" s="5"/>
      <c r="Y416" s="5"/>
      <c r="Z416" s="6"/>
    </row>
    <row r="417" ht="51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4"/>
      <c r="X417" s="5"/>
      <c r="Y417" s="5"/>
      <c r="Z417" s="6"/>
    </row>
    <row r="418" ht="51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4"/>
      <c r="X418" s="5"/>
      <c r="Y418" s="5"/>
      <c r="Z418" s="6"/>
    </row>
    <row r="419" ht="51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4"/>
      <c r="X419" s="5"/>
      <c r="Y419" s="5"/>
      <c r="Z419" s="6"/>
    </row>
    <row r="420" ht="51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4"/>
      <c r="X420" s="5"/>
      <c r="Y420" s="5"/>
      <c r="Z420" s="6"/>
    </row>
    <row r="421" ht="51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4"/>
      <c r="X421" s="5"/>
      <c r="Y421" s="5"/>
      <c r="Z421" s="6"/>
    </row>
    <row r="422" ht="51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4"/>
      <c r="X422" s="5"/>
      <c r="Y422" s="5"/>
      <c r="Z422" s="6"/>
    </row>
    <row r="423" ht="51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4"/>
      <c r="X423" s="5"/>
      <c r="Y423" s="5"/>
      <c r="Z423" s="6"/>
    </row>
    <row r="424" ht="51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4"/>
      <c r="X424" s="5"/>
      <c r="Y424" s="5"/>
      <c r="Z424" s="6"/>
    </row>
    <row r="425" ht="51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4"/>
      <c r="X425" s="5"/>
      <c r="Y425" s="5"/>
      <c r="Z425" s="6"/>
    </row>
    <row r="426" ht="51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4"/>
      <c r="X426" s="5"/>
      <c r="Y426" s="5"/>
      <c r="Z426" s="6"/>
    </row>
    <row r="427" ht="51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4"/>
      <c r="X427" s="5"/>
      <c r="Y427" s="5"/>
      <c r="Z427" s="6"/>
    </row>
    <row r="428" ht="51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4"/>
      <c r="X428" s="5"/>
      <c r="Y428" s="5"/>
      <c r="Z428" s="6"/>
    </row>
    <row r="429" ht="51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4"/>
      <c r="X429" s="5"/>
      <c r="Y429" s="5"/>
      <c r="Z429" s="6"/>
    </row>
    <row r="430" ht="51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4"/>
      <c r="X430" s="5"/>
      <c r="Y430" s="5"/>
      <c r="Z430" s="6"/>
    </row>
    <row r="431" ht="51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4"/>
      <c r="X431" s="5"/>
      <c r="Y431" s="5"/>
      <c r="Z431" s="6"/>
    </row>
    <row r="432" ht="51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4"/>
      <c r="X432" s="5"/>
      <c r="Y432" s="5"/>
      <c r="Z432" s="6"/>
    </row>
    <row r="433" ht="51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4"/>
      <c r="X433" s="5"/>
      <c r="Y433" s="5"/>
      <c r="Z433" s="6"/>
    </row>
    <row r="434" ht="51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4"/>
      <c r="X434" s="5"/>
      <c r="Y434" s="5"/>
      <c r="Z434" s="6"/>
    </row>
    <row r="435" ht="51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4"/>
      <c r="X435" s="5"/>
      <c r="Y435" s="5"/>
      <c r="Z435" s="6"/>
    </row>
    <row r="436" ht="51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4"/>
      <c r="X436" s="5"/>
      <c r="Y436" s="5"/>
      <c r="Z436" s="6"/>
    </row>
    <row r="437" ht="51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4"/>
      <c r="X437" s="5"/>
      <c r="Y437" s="5"/>
      <c r="Z437" s="6"/>
    </row>
    <row r="438" ht="51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4"/>
      <c r="X438" s="5"/>
      <c r="Y438" s="5"/>
      <c r="Z438" s="6"/>
    </row>
    <row r="439" ht="51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4"/>
      <c r="X439" s="5"/>
      <c r="Y439" s="5"/>
      <c r="Z439" s="6"/>
    </row>
    <row r="440" ht="51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4"/>
      <c r="X440" s="5"/>
      <c r="Y440" s="5"/>
      <c r="Z440" s="6"/>
    </row>
    <row r="441" ht="51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4"/>
      <c r="X441" s="5"/>
      <c r="Y441" s="5"/>
      <c r="Z441" s="6"/>
    </row>
    <row r="442" ht="51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4"/>
      <c r="X442" s="5"/>
      <c r="Y442" s="5"/>
      <c r="Z442" s="6"/>
    </row>
    <row r="443" ht="51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4"/>
      <c r="X443" s="5"/>
      <c r="Y443" s="5"/>
      <c r="Z443" s="6"/>
    </row>
    <row r="444" ht="51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4"/>
      <c r="X444" s="5"/>
      <c r="Y444" s="5"/>
      <c r="Z444" s="6"/>
    </row>
    <row r="445" ht="51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4"/>
      <c r="X445" s="5"/>
      <c r="Y445" s="5"/>
      <c r="Z445" s="6"/>
    </row>
    <row r="446" ht="51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4"/>
      <c r="X446" s="5"/>
      <c r="Y446" s="5"/>
      <c r="Z446" s="6"/>
    </row>
    <row r="447" ht="51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4"/>
      <c r="X447" s="5"/>
      <c r="Y447" s="5"/>
      <c r="Z447" s="6"/>
    </row>
    <row r="448" ht="51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4"/>
      <c r="X448" s="5"/>
      <c r="Y448" s="5"/>
      <c r="Z448" s="6"/>
    </row>
    <row r="449" ht="51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4"/>
      <c r="X449" s="5"/>
      <c r="Y449" s="5"/>
      <c r="Z449" s="6"/>
    </row>
    <row r="450" ht="51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4"/>
      <c r="X450" s="5"/>
      <c r="Y450" s="5"/>
      <c r="Z450" s="6"/>
    </row>
    <row r="451" ht="51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4"/>
      <c r="X451" s="5"/>
      <c r="Y451" s="5"/>
      <c r="Z451" s="6"/>
    </row>
    <row r="452" ht="51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4"/>
      <c r="X452" s="5"/>
      <c r="Y452" s="5"/>
      <c r="Z452" s="6"/>
    </row>
    <row r="453" ht="51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4"/>
      <c r="X453" s="5"/>
      <c r="Y453" s="5"/>
      <c r="Z453" s="6"/>
    </row>
    <row r="454" ht="51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4"/>
      <c r="X454" s="5"/>
      <c r="Y454" s="5"/>
      <c r="Z454" s="6"/>
    </row>
    <row r="455" ht="51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4"/>
      <c r="X455" s="5"/>
      <c r="Y455" s="5"/>
      <c r="Z455" s="6"/>
    </row>
    <row r="456" ht="51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4"/>
      <c r="X456" s="5"/>
      <c r="Y456" s="5"/>
      <c r="Z456" s="6"/>
    </row>
    <row r="457" ht="51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4"/>
      <c r="X457" s="5"/>
      <c r="Y457" s="5"/>
      <c r="Z457" s="6"/>
    </row>
    <row r="458" ht="51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4"/>
      <c r="X458" s="5"/>
      <c r="Y458" s="5"/>
      <c r="Z458" s="6"/>
    </row>
    <row r="459" ht="51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4"/>
      <c r="X459" s="5"/>
      <c r="Y459" s="5"/>
      <c r="Z459" s="6"/>
    </row>
    <row r="460" ht="51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4"/>
      <c r="X460" s="5"/>
      <c r="Y460" s="5"/>
      <c r="Z460" s="6"/>
    </row>
    <row r="461" ht="51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4"/>
      <c r="X461" s="5"/>
      <c r="Y461" s="5"/>
      <c r="Z461" s="6"/>
    </row>
    <row r="462" ht="51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4"/>
      <c r="X462" s="5"/>
      <c r="Y462" s="5"/>
      <c r="Z462" s="6"/>
    </row>
    <row r="463" ht="51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4"/>
      <c r="X463" s="5"/>
      <c r="Y463" s="5"/>
      <c r="Z463" s="6"/>
    </row>
    <row r="464" ht="51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4"/>
      <c r="X464" s="5"/>
      <c r="Y464" s="5"/>
      <c r="Z464" s="6"/>
    </row>
    <row r="465" ht="51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4"/>
      <c r="X465" s="5"/>
      <c r="Y465" s="5"/>
      <c r="Z465" s="6"/>
    </row>
    <row r="466" ht="51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4"/>
      <c r="X466" s="5"/>
      <c r="Y466" s="5"/>
      <c r="Z466" s="6"/>
    </row>
    <row r="467" ht="51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4"/>
      <c r="X467" s="5"/>
      <c r="Y467" s="5"/>
      <c r="Z467" s="6"/>
    </row>
    <row r="468" ht="51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4"/>
      <c r="X468" s="5"/>
      <c r="Y468" s="5"/>
      <c r="Z468" s="6"/>
    </row>
    <row r="469" ht="51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4"/>
      <c r="X469" s="5"/>
      <c r="Y469" s="5"/>
      <c r="Z469" s="6"/>
    </row>
    <row r="470" ht="51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4"/>
      <c r="X470" s="5"/>
      <c r="Y470" s="5"/>
      <c r="Z470" s="6"/>
    </row>
    <row r="471" ht="51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4"/>
      <c r="X471" s="5"/>
      <c r="Y471" s="5"/>
      <c r="Z471" s="6"/>
    </row>
    <row r="472" ht="51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4"/>
      <c r="X472" s="5"/>
      <c r="Y472" s="5"/>
      <c r="Z472" s="6"/>
    </row>
    <row r="473" ht="51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4"/>
      <c r="X473" s="5"/>
      <c r="Y473" s="5"/>
      <c r="Z473" s="6"/>
    </row>
    <row r="474" ht="51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4"/>
      <c r="X474" s="5"/>
      <c r="Y474" s="5"/>
      <c r="Z474" s="6"/>
    </row>
    <row r="475" ht="51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4"/>
      <c r="X475" s="5"/>
      <c r="Y475" s="5"/>
      <c r="Z475" s="6"/>
    </row>
    <row r="476" ht="51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4"/>
      <c r="X476" s="5"/>
      <c r="Y476" s="5"/>
      <c r="Z476" s="6"/>
    </row>
    <row r="477" ht="51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4"/>
      <c r="X477" s="5"/>
      <c r="Y477" s="5"/>
      <c r="Z477" s="6"/>
    </row>
    <row r="478" ht="51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4"/>
      <c r="X478" s="5"/>
      <c r="Y478" s="5"/>
      <c r="Z478" s="6"/>
    </row>
    <row r="479" ht="51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4"/>
      <c r="X479" s="5"/>
      <c r="Y479" s="5"/>
      <c r="Z479" s="6"/>
    </row>
    <row r="480" ht="51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4"/>
      <c r="X480" s="5"/>
      <c r="Y480" s="5"/>
      <c r="Z480" s="6"/>
    </row>
    <row r="481" ht="51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4"/>
      <c r="X481" s="5"/>
      <c r="Y481" s="5"/>
      <c r="Z481" s="6"/>
    </row>
    <row r="482" ht="51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4"/>
      <c r="X482" s="5"/>
      <c r="Y482" s="5"/>
      <c r="Z482" s="6"/>
    </row>
    <row r="483" ht="51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4"/>
      <c r="X483" s="5"/>
      <c r="Y483" s="5"/>
      <c r="Z483" s="6"/>
    </row>
    <row r="484" ht="51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4"/>
      <c r="X484" s="5"/>
      <c r="Y484" s="5"/>
      <c r="Z484" s="6"/>
    </row>
    <row r="485" ht="51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4"/>
      <c r="X485" s="5"/>
      <c r="Y485" s="5"/>
      <c r="Z485" s="6"/>
    </row>
    <row r="486" ht="51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4"/>
      <c r="X486" s="5"/>
      <c r="Y486" s="5"/>
      <c r="Z486" s="6"/>
    </row>
    <row r="487" ht="51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4"/>
      <c r="X487" s="5"/>
      <c r="Y487" s="5"/>
      <c r="Z487" s="6"/>
    </row>
    <row r="488" ht="51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4"/>
      <c r="X488" s="5"/>
      <c r="Y488" s="5"/>
      <c r="Z488" s="6"/>
    </row>
    <row r="489" ht="51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4"/>
      <c r="X489" s="5"/>
      <c r="Y489" s="5"/>
      <c r="Z489" s="6"/>
    </row>
    <row r="490" ht="51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4"/>
      <c r="X490" s="5"/>
      <c r="Y490" s="5"/>
      <c r="Z490" s="6"/>
    </row>
    <row r="491" ht="51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4"/>
      <c r="X491" s="5"/>
      <c r="Y491" s="5"/>
      <c r="Z491" s="6"/>
    </row>
    <row r="492" ht="51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4"/>
      <c r="X492" s="5"/>
      <c r="Y492" s="5"/>
      <c r="Z492" s="6"/>
    </row>
    <row r="493" ht="51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4"/>
      <c r="X493" s="5"/>
      <c r="Y493" s="5"/>
      <c r="Z493" s="6"/>
    </row>
    <row r="494" ht="51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4"/>
      <c r="X494" s="5"/>
      <c r="Y494" s="5"/>
      <c r="Z494" s="6"/>
    </row>
    <row r="495" ht="51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4"/>
      <c r="X495" s="5"/>
      <c r="Y495" s="5"/>
      <c r="Z495" s="6"/>
    </row>
    <row r="496" ht="51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4"/>
      <c r="X496" s="5"/>
      <c r="Y496" s="5"/>
      <c r="Z496" s="6"/>
    </row>
    <row r="497" ht="51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4"/>
      <c r="X497" s="5"/>
      <c r="Y497" s="5"/>
      <c r="Z497" s="6"/>
    </row>
    <row r="498" ht="51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4"/>
      <c r="X498" s="5"/>
      <c r="Y498" s="5"/>
      <c r="Z498" s="6"/>
    </row>
    <row r="499" ht="51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4"/>
      <c r="X499" s="5"/>
      <c r="Y499" s="5"/>
      <c r="Z499" s="6"/>
    </row>
    <row r="500" ht="51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4"/>
      <c r="X500" s="5"/>
      <c r="Y500" s="5"/>
      <c r="Z500" s="6"/>
    </row>
    <row r="501" ht="51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4"/>
      <c r="X501" s="5"/>
      <c r="Y501" s="5"/>
      <c r="Z501" s="6"/>
    </row>
    <row r="502" ht="51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4"/>
      <c r="X502" s="5"/>
      <c r="Y502" s="5"/>
      <c r="Z502" s="6"/>
    </row>
    <row r="503" ht="51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4"/>
      <c r="X503" s="5"/>
      <c r="Y503" s="5"/>
      <c r="Z503" s="6"/>
    </row>
    <row r="504" ht="51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4"/>
      <c r="X504" s="5"/>
      <c r="Y504" s="5"/>
      <c r="Z504" s="6"/>
    </row>
    <row r="505" ht="51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4"/>
      <c r="X505" s="5"/>
      <c r="Y505" s="5"/>
      <c r="Z505" s="6"/>
    </row>
    <row r="506" ht="51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4"/>
      <c r="X506" s="5"/>
      <c r="Y506" s="5"/>
      <c r="Z506" s="6"/>
    </row>
    <row r="507" ht="51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4"/>
      <c r="X507" s="5"/>
      <c r="Y507" s="5"/>
      <c r="Z507" s="6"/>
    </row>
    <row r="508" ht="51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4"/>
      <c r="X508" s="5"/>
      <c r="Y508" s="5"/>
      <c r="Z508" s="6"/>
    </row>
    <row r="509" ht="51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4"/>
      <c r="X509" s="5"/>
      <c r="Y509" s="5"/>
      <c r="Z509" s="6"/>
    </row>
    <row r="510" ht="51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4"/>
      <c r="X510" s="5"/>
      <c r="Y510" s="5"/>
      <c r="Z510" s="6"/>
    </row>
    <row r="511" ht="51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4"/>
      <c r="X511" s="5"/>
      <c r="Y511" s="5"/>
      <c r="Z511" s="6"/>
    </row>
    <row r="512" ht="51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4"/>
      <c r="X512" s="5"/>
      <c r="Y512" s="5"/>
      <c r="Z512" s="6"/>
    </row>
    <row r="513" ht="51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4"/>
      <c r="X513" s="5"/>
      <c r="Y513" s="5"/>
      <c r="Z513" s="6"/>
    </row>
    <row r="514" ht="51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4"/>
      <c r="X514" s="5"/>
      <c r="Y514" s="5"/>
      <c r="Z514" s="6"/>
    </row>
    <row r="515" ht="51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4"/>
      <c r="X515" s="5"/>
      <c r="Y515" s="5"/>
      <c r="Z515" s="6"/>
    </row>
    <row r="516" ht="51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4"/>
      <c r="X516" s="5"/>
      <c r="Y516" s="5"/>
      <c r="Z516" s="6"/>
    </row>
    <row r="517" ht="51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4"/>
      <c r="X517" s="5"/>
      <c r="Y517" s="5"/>
      <c r="Z517" s="6"/>
    </row>
    <row r="518" ht="51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4"/>
      <c r="X518" s="5"/>
      <c r="Y518" s="5"/>
      <c r="Z518" s="6"/>
    </row>
    <row r="519" ht="51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4"/>
      <c r="X519" s="5"/>
      <c r="Y519" s="5"/>
      <c r="Z519" s="6"/>
    </row>
    <row r="520" ht="51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4"/>
      <c r="X520" s="5"/>
      <c r="Y520" s="5"/>
      <c r="Z520" s="6"/>
    </row>
    <row r="521" ht="51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4"/>
      <c r="X521" s="5"/>
      <c r="Y521" s="5"/>
      <c r="Z521" s="6"/>
    </row>
    <row r="522" ht="51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4"/>
      <c r="X522" s="5"/>
      <c r="Y522" s="5"/>
      <c r="Z522" s="6"/>
    </row>
    <row r="523" ht="51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4"/>
      <c r="X523" s="5"/>
      <c r="Y523" s="5"/>
      <c r="Z523" s="6"/>
    </row>
    <row r="524" ht="51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4"/>
      <c r="X524" s="5"/>
      <c r="Y524" s="5"/>
      <c r="Z524" s="6"/>
    </row>
    <row r="525" ht="51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4"/>
      <c r="X525" s="5"/>
      <c r="Y525" s="5"/>
      <c r="Z525" s="6"/>
    </row>
    <row r="526" ht="51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4"/>
      <c r="X526" s="5"/>
      <c r="Y526" s="5"/>
      <c r="Z526" s="6"/>
    </row>
    <row r="527" ht="51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4"/>
      <c r="X527" s="5"/>
      <c r="Y527" s="5"/>
      <c r="Z527" s="6"/>
    </row>
    <row r="528" ht="51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4"/>
      <c r="X528" s="5"/>
      <c r="Y528" s="5"/>
      <c r="Z528" s="6"/>
    </row>
    <row r="529" ht="51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4"/>
      <c r="X529" s="5"/>
      <c r="Y529" s="5"/>
      <c r="Z529" s="6"/>
    </row>
    <row r="530" ht="51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4"/>
      <c r="X530" s="5"/>
      <c r="Y530" s="5"/>
      <c r="Z530" s="6"/>
    </row>
    <row r="531" ht="51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4"/>
      <c r="X531" s="5"/>
      <c r="Y531" s="5"/>
      <c r="Z531" s="6"/>
    </row>
    <row r="532" ht="51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4"/>
      <c r="X532" s="5"/>
      <c r="Y532" s="5"/>
      <c r="Z532" s="6"/>
    </row>
    <row r="533" ht="51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4"/>
      <c r="X533" s="5"/>
      <c r="Y533" s="5"/>
      <c r="Z533" s="6"/>
    </row>
    <row r="534" ht="51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4"/>
      <c r="X534" s="5"/>
      <c r="Y534" s="5"/>
      <c r="Z534" s="6"/>
    </row>
    <row r="535" ht="51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4"/>
      <c r="X535" s="5"/>
      <c r="Y535" s="5"/>
      <c r="Z535" s="6"/>
    </row>
    <row r="536" ht="51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4"/>
      <c r="X536" s="5"/>
      <c r="Y536" s="5"/>
      <c r="Z536" s="6"/>
    </row>
    <row r="537" ht="51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4"/>
      <c r="X537" s="5"/>
      <c r="Y537" s="5"/>
      <c r="Z537" s="6"/>
    </row>
    <row r="538" ht="51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4"/>
      <c r="X538" s="5"/>
      <c r="Y538" s="5"/>
      <c r="Z538" s="6"/>
    </row>
    <row r="539" ht="51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4"/>
      <c r="X539" s="5"/>
      <c r="Y539" s="5"/>
      <c r="Z539" s="6"/>
    </row>
    <row r="540" ht="51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4"/>
      <c r="X540" s="5"/>
      <c r="Y540" s="5"/>
      <c r="Z540" s="6"/>
    </row>
    <row r="541" ht="51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4"/>
      <c r="X541" s="5"/>
      <c r="Y541" s="5"/>
      <c r="Z541" s="6"/>
    </row>
    <row r="542" ht="51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4"/>
      <c r="X542" s="5"/>
      <c r="Y542" s="5"/>
      <c r="Z542" s="6"/>
    </row>
    <row r="543" ht="51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4"/>
      <c r="X543" s="5"/>
      <c r="Y543" s="5"/>
      <c r="Z543" s="6"/>
    </row>
    <row r="544" ht="51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4"/>
      <c r="X544" s="5"/>
      <c r="Y544" s="5"/>
      <c r="Z544" s="6"/>
    </row>
    <row r="545" ht="51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4"/>
      <c r="X545" s="5"/>
      <c r="Y545" s="5"/>
      <c r="Z545" s="6"/>
    </row>
    <row r="546" ht="51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4"/>
      <c r="X546" s="5"/>
      <c r="Y546" s="5"/>
      <c r="Z546" s="6"/>
    </row>
    <row r="547" ht="51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4"/>
      <c r="X547" s="5"/>
      <c r="Y547" s="5"/>
      <c r="Z547" s="6"/>
    </row>
    <row r="548" ht="51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4"/>
      <c r="X548" s="5"/>
      <c r="Y548" s="5"/>
      <c r="Z548" s="6"/>
    </row>
    <row r="549" ht="51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4"/>
      <c r="X549" s="5"/>
      <c r="Y549" s="5"/>
      <c r="Z549" s="6"/>
    </row>
    <row r="550" ht="51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4"/>
      <c r="X550" s="5"/>
      <c r="Y550" s="5"/>
      <c r="Z550" s="6"/>
    </row>
    <row r="551" ht="51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4"/>
      <c r="X551" s="5"/>
      <c r="Y551" s="5"/>
      <c r="Z551" s="6"/>
    </row>
    <row r="552" ht="51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4"/>
      <c r="X552" s="5"/>
      <c r="Y552" s="5"/>
      <c r="Z552" s="6"/>
    </row>
    <row r="553" ht="51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4"/>
      <c r="X553" s="5"/>
      <c r="Y553" s="5"/>
      <c r="Z553" s="6"/>
    </row>
    <row r="554" ht="51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4"/>
      <c r="X554" s="5"/>
      <c r="Y554" s="5"/>
      <c r="Z554" s="6"/>
    </row>
    <row r="555" ht="51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4"/>
      <c r="X555" s="5"/>
      <c r="Y555" s="5"/>
      <c r="Z555" s="6"/>
    </row>
    <row r="556" ht="51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4"/>
      <c r="X556" s="5"/>
      <c r="Y556" s="5"/>
      <c r="Z556" s="6"/>
    </row>
    <row r="557" ht="51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4"/>
      <c r="X557" s="5"/>
      <c r="Y557" s="5"/>
      <c r="Z557" s="6"/>
    </row>
    <row r="558" ht="51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4"/>
      <c r="X558" s="5"/>
      <c r="Y558" s="5"/>
      <c r="Z558" s="6"/>
    </row>
    <row r="559" ht="51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4"/>
      <c r="X559" s="5"/>
      <c r="Y559" s="5"/>
      <c r="Z559" s="6"/>
    </row>
    <row r="560" ht="51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4"/>
      <c r="X560" s="5"/>
      <c r="Y560" s="5"/>
      <c r="Z560" s="6"/>
    </row>
    <row r="561" ht="51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4"/>
      <c r="X561" s="5"/>
      <c r="Y561" s="5"/>
      <c r="Z561" s="6"/>
    </row>
    <row r="562" ht="51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4"/>
      <c r="X562" s="5"/>
      <c r="Y562" s="5"/>
      <c r="Z562" s="6"/>
    </row>
    <row r="563" ht="51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4"/>
      <c r="X563" s="5"/>
      <c r="Y563" s="5"/>
      <c r="Z563" s="6"/>
    </row>
    <row r="564" ht="51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4"/>
      <c r="X564" s="5"/>
      <c r="Y564" s="5"/>
      <c r="Z564" s="6"/>
    </row>
    <row r="565" ht="51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4"/>
      <c r="X565" s="5"/>
      <c r="Y565" s="5"/>
      <c r="Z565" s="6"/>
    </row>
    <row r="566" ht="51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4"/>
      <c r="X566" s="5"/>
      <c r="Y566" s="5"/>
      <c r="Z566" s="6"/>
    </row>
    <row r="567" ht="51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4"/>
      <c r="X567" s="5"/>
      <c r="Y567" s="5"/>
      <c r="Z567" s="6"/>
    </row>
    <row r="568" ht="51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4"/>
      <c r="X568" s="5"/>
      <c r="Y568" s="5"/>
      <c r="Z568" s="6"/>
    </row>
    <row r="569" ht="51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4"/>
      <c r="X569" s="5"/>
      <c r="Y569" s="5"/>
      <c r="Z569" s="6"/>
    </row>
    <row r="570" ht="51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4"/>
      <c r="X570" s="5"/>
      <c r="Y570" s="5"/>
      <c r="Z570" s="6"/>
    </row>
    <row r="571" ht="51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4"/>
      <c r="X571" s="5"/>
      <c r="Y571" s="5"/>
      <c r="Z571" s="6"/>
    </row>
    <row r="572" ht="51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4"/>
      <c r="X572" s="5"/>
      <c r="Y572" s="5"/>
      <c r="Z572" s="6"/>
    </row>
    <row r="573" ht="51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4"/>
      <c r="X573" s="5"/>
      <c r="Y573" s="5"/>
      <c r="Z573" s="6"/>
    </row>
    <row r="574" ht="51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4"/>
      <c r="X574" s="5"/>
      <c r="Y574" s="5"/>
      <c r="Z574" s="6"/>
    </row>
    <row r="575" ht="51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4"/>
      <c r="X575" s="5"/>
      <c r="Y575" s="5"/>
      <c r="Z575" s="6"/>
    </row>
    <row r="576" ht="51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4"/>
      <c r="X576" s="5"/>
      <c r="Y576" s="5"/>
      <c r="Z576" s="6"/>
    </row>
    <row r="577" ht="51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4"/>
      <c r="X577" s="5"/>
      <c r="Y577" s="5"/>
      <c r="Z577" s="6"/>
    </row>
    <row r="578" ht="51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4"/>
      <c r="X578" s="5"/>
      <c r="Y578" s="5"/>
      <c r="Z578" s="6"/>
    </row>
    <row r="579" ht="51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4"/>
      <c r="X579" s="5"/>
      <c r="Y579" s="5"/>
      <c r="Z579" s="6"/>
    </row>
    <row r="580" ht="51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4"/>
      <c r="X580" s="5"/>
      <c r="Y580" s="5"/>
      <c r="Z580" s="6"/>
    </row>
    <row r="581" ht="51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4"/>
      <c r="X581" s="5"/>
      <c r="Y581" s="5"/>
      <c r="Z581" s="6"/>
    </row>
    <row r="582" ht="51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4"/>
      <c r="X582" s="5"/>
      <c r="Y582" s="5"/>
      <c r="Z582" s="6"/>
    </row>
    <row r="583" ht="51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4"/>
      <c r="X583" s="5"/>
      <c r="Y583" s="5"/>
      <c r="Z583" s="6"/>
    </row>
    <row r="584" ht="51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4"/>
      <c r="X584" s="5"/>
      <c r="Y584" s="5"/>
      <c r="Z584" s="6"/>
    </row>
    <row r="585" ht="51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4"/>
      <c r="X585" s="5"/>
      <c r="Y585" s="5"/>
      <c r="Z585" s="6"/>
    </row>
    <row r="586" ht="51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4"/>
      <c r="X586" s="5"/>
      <c r="Y586" s="5"/>
      <c r="Z586" s="6"/>
    </row>
    <row r="587" ht="51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4"/>
      <c r="X587" s="5"/>
      <c r="Y587" s="5"/>
      <c r="Z587" s="6"/>
    </row>
    <row r="588" ht="51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4"/>
      <c r="X588" s="5"/>
      <c r="Y588" s="5"/>
      <c r="Z588" s="6"/>
    </row>
    <row r="589" ht="51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4"/>
      <c r="X589" s="5"/>
      <c r="Y589" s="5"/>
      <c r="Z589" s="6"/>
    </row>
    <row r="590" ht="51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4"/>
      <c r="X590" s="5"/>
      <c r="Y590" s="5"/>
      <c r="Z590" s="6"/>
    </row>
    <row r="591" ht="51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4"/>
      <c r="X591" s="5"/>
      <c r="Y591" s="5"/>
      <c r="Z591" s="6"/>
    </row>
    <row r="592" ht="51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4"/>
      <c r="X592" s="5"/>
      <c r="Y592" s="5"/>
      <c r="Z592" s="6"/>
    </row>
    <row r="593" ht="51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4"/>
      <c r="X593" s="5"/>
      <c r="Y593" s="5"/>
      <c r="Z593" s="6"/>
    </row>
    <row r="594" ht="51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4"/>
      <c r="X594" s="5"/>
      <c r="Y594" s="5"/>
      <c r="Z594" s="6"/>
    </row>
    <row r="595" ht="51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4"/>
      <c r="X595" s="5"/>
      <c r="Y595" s="5"/>
      <c r="Z595" s="6"/>
    </row>
    <row r="596" ht="51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4"/>
      <c r="X596" s="5"/>
      <c r="Y596" s="5"/>
      <c r="Z596" s="6"/>
    </row>
    <row r="597" ht="51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4"/>
      <c r="X597" s="5"/>
      <c r="Y597" s="5"/>
      <c r="Z597" s="6"/>
    </row>
    <row r="598" ht="51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4"/>
      <c r="X598" s="5"/>
      <c r="Y598" s="5"/>
      <c r="Z598" s="6"/>
    </row>
    <row r="599" ht="51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4"/>
      <c r="X599" s="5"/>
      <c r="Y599" s="5"/>
      <c r="Z599" s="6"/>
    </row>
    <row r="600" ht="51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4"/>
      <c r="X600" s="5"/>
      <c r="Y600" s="5"/>
      <c r="Z600" s="6"/>
    </row>
    <row r="601" ht="51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4"/>
      <c r="X601" s="5"/>
      <c r="Y601" s="5"/>
      <c r="Z601" s="6"/>
    </row>
    <row r="602" ht="51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4"/>
      <c r="X602" s="5"/>
      <c r="Y602" s="5"/>
      <c r="Z602" s="6"/>
    </row>
    <row r="603" ht="51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4"/>
      <c r="X603" s="5"/>
      <c r="Y603" s="5"/>
      <c r="Z603" s="6"/>
    </row>
    <row r="604" ht="51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4"/>
      <c r="X604" s="5"/>
      <c r="Y604" s="5"/>
      <c r="Z604" s="6"/>
    </row>
    <row r="605" ht="51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4"/>
      <c r="X605" s="5"/>
      <c r="Y605" s="5"/>
      <c r="Z605" s="6"/>
    </row>
    <row r="606" ht="51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4"/>
      <c r="X606" s="5"/>
      <c r="Y606" s="5"/>
      <c r="Z606" s="6"/>
    </row>
    <row r="607" ht="51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4"/>
      <c r="X607" s="5"/>
      <c r="Y607" s="5"/>
      <c r="Z607" s="6"/>
    </row>
    <row r="608" ht="51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4"/>
      <c r="X608" s="5"/>
      <c r="Y608" s="5"/>
      <c r="Z608" s="6"/>
    </row>
    <row r="609" ht="51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4"/>
      <c r="X609" s="5"/>
      <c r="Y609" s="5"/>
      <c r="Z609" s="6"/>
    </row>
    <row r="610" ht="51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4"/>
      <c r="X610" s="5"/>
      <c r="Y610" s="5"/>
      <c r="Z610" s="6"/>
    </row>
    <row r="611" ht="51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4"/>
      <c r="X611" s="5"/>
      <c r="Y611" s="5"/>
      <c r="Z611" s="6"/>
    </row>
    <row r="612" ht="51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4"/>
      <c r="X612" s="5"/>
      <c r="Y612" s="5"/>
      <c r="Z612" s="6"/>
    </row>
    <row r="613" ht="51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4"/>
      <c r="X613" s="5"/>
      <c r="Y613" s="5"/>
      <c r="Z613" s="6"/>
    </row>
    <row r="614" ht="51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4"/>
      <c r="X614" s="5"/>
      <c r="Y614" s="5"/>
      <c r="Z614" s="6"/>
    </row>
    <row r="615" ht="51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4"/>
      <c r="X615" s="5"/>
      <c r="Y615" s="5"/>
      <c r="Z615" s="6"/>
    </row>
    <row r="616" ht="51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4"/>
      <c r="X616" s="5"/>
      <c r="Y616" s="5"/>
      <c r="Z616" s="6"/>
    </row>
    <row r="617" ht="51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4"/>
      <c r="X617" s="5"/>
      <c r="Y617" s="5"/>
      <c r="Z617" s="6"/>
    </row>
    <row r="618" ht="51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4"/>
      <c r="X618" s="5"/>
      <c r="Y618" s="5"/>
      <c r="Z618" s="6"/>
    </row>
    <row r="619" ht="51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4"/>
      <c r="X619" s="5"/>
      <c r="Y619" s="5"/>
      <c r="Z619" s="6"/>
    </row>
    <row r="620" ht="51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4"/>
      <c r="X620" s="5"/>
      <c r="Y620" s="5"/>
      <c r="Z620" s="6"/>
    </row>
    <row r="621" ht="51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4"/>
      <c r="X621" s="5"/>
      <c r="Y621" s="5"/>
      <c r="Z621" s="6"/>
    </row>
    <row r="622" ht="51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4"/>
      <c r="X622" s="5"/>
      <c r="Y622" s="5"/>
      <c r="Z622" s="6"/>
    </row>
    <row r="623" ht="51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4"/>
      <c r="X623" s="5"/>
      <c r="Y623" s="5"/>
      <c r="Z623" s="6"/>
    </row>
    <row r="624" ht="51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4"/>
      <c r="X624" s="5"/>
      <c r="Y624" s="5"/>
      <c r="Z624" s="6"/>
    </row>
    <row r="625" ht="51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4"/>
      <c r="X625" s="5"/>
      <c r="Y625" s="5"/>
      <c r="Z625" s="6"/>
    </row>
    <row r="626" ht="51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4"/>
      <c r="X626" s="5"/>
      <c r="Y626" s="5"/>
      <c r="Z626" s="6"/>
    </row>
    <row r="627" ht="51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4"/>
      <c r="X627" s="5"/>
      <c r="Y627" s="5"/>
      <c r="Z627" s="6"/>
    </row>
    <row r="628" ht="51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4"/>
      <c r="X628" s="5"/>
      <c r="Y628" s="5"/>
      <c r="Z628" s="6"/>
    </row>
    <row r="629" ht="51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4"/>
      <c r="X629" s="5"/>
      <c r="Y629" s="5"/>
      <c r="Z629" s="6"/>
    </row>
    <row r="630" ht="51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4"/>
      <c r="X630" s="5"/>
      <c r="Y630" s="5"/>
      <c r="Z630" s="6"/>
    </row>
    <row r="631" ht="51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4"/>
      <c r="X631" s="5"/>
      <c r="Y631" s="5"/>
      <c r="Z631" s="6"/>
    </row>
    <row r="632" ht="51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4"/>
      <c r="X632" s="5"/>
      <c r="Y632" s="5"/>
      <c r="Z632" s="6"/>
    </row>
    <row r="633" ht="51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4"/>
      <c r="X633" s="5"/>
      <c r="Y633" s="5"/>
      <c r="Z633" s="6"/>
    </row>
    <row r="634" ht="51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4"/>
      <c r="X634" s="5"/>
      <c r="Y634" s="5"/>
      <c r="Z634" s="6"/>
    </row>
    <row r="635" ht="51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4"/>
      <c r="X635" s="5"/>
      <c r="Y635" s="5"/>
      <c r="Z635" s="6"/>
    </row>
    <row r="636" ht="51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4"/>
      <c r="X636" s="5"/>
      <c r="Y636" s="5"/>
      <c r="Z636" s="6"/>
    </row>
    <row r="637" ht="51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4"/>
      <c r="X637" s="5"/>
      <c r="Y637" s="5"/>
      <c r="Z637" s="6"/>
    </row>
    <row r="638" ht="51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4"/>
      <c r="X638" s="5"/>
      <c r="Y638" s="5"/>
      <c r="Z638" s="6"/>
    </row>
    <row r="639" ht="51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4"/>
      <c r="X639" s="5"/>
      <c r="Y639" s="5"/>
      <c r="Z639" s="6"/>
    </row>
    <row r="640" ht="51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4"/>
      <c r="X640" s="5"/>
      <c r="Y640" s="5"/>
      <c r="Z640" s="6"/>
    </row>
    <row r="641" ht="51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4"/>
      <c r="X641" s="5"/>
      <c r="Y641" s="5"/>
      <c r="Z641" s="6"/>
    </row>
    <row r="642" ht="51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4"/>
      <c r="X642" s="5"/>
      <c r="Y642" s="5"/>
      <c r="Z642" s="6"/>
    </row>
    <row r="643" ht="51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4"/>
      <c r="X643" s="5"/>
      <c r="Y643" s="5"/>
      <c r="Z643" s="6"/>
    </row>
    <row r="644" ht="51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4"/>
      <c r="X644" s="5"/>
      <c r="Y644" s="5"/>
      <c r="Z644" s="6"/>
    </row>
    <row r="645" ht="51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4"/>
      <c r="X645" s="5"/>
      <c r="Y645" s="5"/>
      <c r="Z645" s="6"/>
    </row>
    <row r="646" ht="51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4"/>
      <c r="X646" s="5"/>
      <c r="Y646" s="5"/>
      <c r="Z646" s="6"/>
    </row>
    <row r="647" ht="51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4"/>
      <c r="X647" s="5"/>
      <c r="Y647" s="5"/>
      <c r="Z647" s="6"/>
    </row>
    <row r="648" ht="51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4"/>
      <c r="X648" s="5"/>
      <c r="Y648" s="5"/>
      <c r="Z648" s="6"/>
    </row>
    <row r="649" ht="51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4"/>
      <c r="X649" s="5"/>
      <c r="Y649" s="5"/>
      <c r="Z649" s="6"/>
    </row>
    <row r="650" ht="51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4"/>
      <c r="X650" s="5"/>
      <c r="Y650" s="5"/>
      <c r="Z650" s="6"/>
    </row>
    <row r="651" ht="51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4"/>
      <c r="X651" s="5"/>
      <c r="Y651" s="5"/>
      <c r="Z651" s="6"/>
    </row>
    <row r="652" ht="51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4"/>
      <c r="X652" s="5"/>
      <c r="Y652" s="5"/>
      <c r="Z652" s="6"/>
    </row>
    <row r="653" ht="51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4"/>
      <c r="X653" s="5"/>
      <c r="Y653" s="5"/>
      <c r="Z653" s="6"/>
    </row>
    <row r="654" ht="51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4"/>
      <c r="X654" s="5"/>
      <c r="Y654" s="5"/>
      <c r="Z654" s="6"/>
    </row>
    <row r="655" ht="51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4"/>
      <c r="X655" s="5"/>
      <c r="Y655" s="5"/>
      <c r="Z655" s="6"/>
    </row>
    <row r="656" ht="51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4"/>
      <c r="X656" s="5"/>
      <c r="Y656" s="5"/>
      <c r="Z656" s="6"/>
    </row>
    <row r="657" ht="51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4"/>
      <c r="X657" s="5"/>
      <c r="Y657" s="5"/>
      <c r="Z657" s="6"/>
    </row>
    <row r="658" ht="51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4"/>
      <c r="X658" s="5"/>
      <c r="Y658" s="5"/>
      <c r="Z658" s="6"/>
    </row>
    <row r="659" ht="51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4"/>
      <c r="X659" s="5"/>
      <c r="Y659" s="5"/>
      <c r="Z659" s="6"/>
    </row>
    <row r="660" ht="51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4"/>
      <c r="X660" s="5"/>
      <c r="Y660" s="5"/>
      <c r="Z660" s="6"/>
    </row>
    <row r="661" ht="51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4"/>
      <c r="X661" s="5"/>
      <c r="Y661" s="5"/>
      <c r="Z661" s="6"/>
    </row>
    <row r="662" ht="51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4"/>
      <c r="X662" s="5"/>
      <c r="Y662" s="5"/>
      <c r="Z662" s="6"/>
    </row>
    <row r="663" ht="51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4"/>
      <c r="X663" s="5"/>
      <c r="Y663" s="5"/>
      <c r="Z663" s="6"/>
    </row>
    <row r="664" ht="51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4"/>
      <c r="X664" s="5"/>
      <c r="Y664" s="5"/>
      <c r="Z664" s="6"/>
    </row>
    <row r="665" ht="51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4"/>
      <c r="X665" s="5"/>
      <c r="Y665" s="5"/>
      <c r="Z665" s="6"/>
    </row>
    <row r="666" ht="51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4"/>
      <c r="X666" s="5"/>
      <c r="Y666" s="5"/>
      <c r="Z666" s="6"/>
    </row>
    <row r="667" ht="51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4"/>
      <c r="X667" s="5"/>
      <c r="Y667" s="5"/>
      <c r="Z667" s="6"/>
    </row>
    <row r="668" ht="51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4"/>
      <c r="X668" s="5"/>
      <c r="Y668" s="5"/>
      <c r="Z668" s="6"/>
    </row>
    <row r="669" ht="51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4"/>
      <c r="X669" s="5"/>
      <c r="Y669" s="5"/>
      <c r="Z669" s="6"/>
    </row>
    <row r="670" ht="51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4"/>
      <c r="X670" s="5"/>
      <c r="Y670" s="5"/>
      <c r="Z670" s="6"/>
    </row>
    <row r="671" ht="51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4"/>
      <c r="X671" s="5"/>
      <c r="Y671" s="5"/>
      <c r="Z671" s="6"/>
    </row>
    <row r="672" ht="51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4"/>
      <c r="X672" s="5"/>
      <c r="Y672" s="5"/>
      <c r="Z672" s="6"/>
    </row>
    <row r="673" ht="51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4"/>
      <c r="X673" s="5"/>
      <c r="Y673" s="5"/>
      <c r="Z673" s="6"/>
    </row>
    <row r="674" ht="51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4"/>
      <c r="X674" s="5"/>
      <c r="Y674" s="5"/>
      <c r="Z674" s="6"/>
    </row>
    <row r="675" ht="51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4"/>
      <c r="X675" s="5"/>
      <c r="Y675" s="5"/>
      <c r="Z675" s="6"/>
    </row>
    <row r="676" ht="51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4"/>
      <c r="X676" s="5"/>
      <c r="Y676" s="5"/>
      <c r="Z676" s="6"/>
    </row>
    <row r="677" ht="51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4"/>
      <c r="X677" s="5"/>
      <c r="Y677" s="5"/>
      <c r="Z677" s="6"/>
    </row>
    <row r="678" ht="51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4"/>
      <c r="X678" s="5"/>
      <c r="Y678" s="5"/>
      <c r="Z678" s="6"/>
    </row>
    <row r="679" ht="51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4"/>
      <c r="X679" s="5"/>
      <c r="Y679" s="5"/>
      <c r="Z679" s="6"/>
    </row>
    <row r="680" ht="51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4"/>
      <c r="X680" s="5"/>
      <c r="Y680" s="5"/>
      <c r="Z680" s="6"/>
    </row>
    <row r="681" ht="51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4"/>
      <c r="X681" s="5"/>
      <c r="Y681" s="5"/>
      <c r="Z681" s="6"/>
    </row>
    <row r="682" ht="51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4"/>
      <c r="X682" s="5"/>
      <c r="Y682" s="5"/>
      <c r="Z682" s="6"/>
    </row>
    <row r="683" ht="51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4"/>
      <c r="X683" s="5"/>
      <c r="Y683" s="5"/>
      <c r="Z683" s="6"/>
    </row>
    <row r="684" ht="51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4"/>
      <c r="X684" s="5"/>
      <c r="Y684" s="5"/>
      <c r="Z684" s="6"/>
    </row>
    <row r="685" ht="51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4"/>
      <c r="X685" s="5"/>
      <c r="Y685" s="5"/>
      <c r="Z685" s="6"/>
    </row>
    <row r="686" ht="51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4"/>
      <c r="X686" s="5"/>
      <c r="Y686" s="5"/>
      <c r="Z686" s="6"/>
    </row>
    <row r="687" ht="51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4"/>
      <c r="X687" s="5"/>
      <c r="Y687" s="5"/>
      <c r="Z687" s="6"/>
    </row>
    <row r="688" ht="51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4"/>
      <c r="X688" s="5"/>
      <c r="Y688" s="5"/>
      <c r="Z688" s="6"/>
    </row>
    <row r="689" ht="51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4"/>
      <c r="X689" s="5"/>
      <c r="Y689" s="5"/>
      <c r="Z689" s="6"/>
    </row>
    <row r="690" ht="51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4"/>
      <c r="X690" s="5"/>
      <c r="Y690" s="5"/>
      <c r="Z690" s="6"/>
    </row>
    <row r="691" ht="51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4"/>
      <c r="X691" s="5"/>
      <c r="Y691" s="5"/>
      <c r="Z691" s="6"/>
    </row>
    <row r="692" ht="51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4"/>
      <c r="X692" s="5"/>
      <c r="Y692" s="5"/>
      <c r="Z692" s="6"/>
    </row>
    <row r="693" ht="51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4"/>
      <c r="X693" s="5"/>
      <c r="Y693" s="5"/>
      <c r="Z693" s="6"/>
    </row>
    <row r="694" ht="51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4"/>
      <c r="X694" s="5"/>
      <c r="Y694" s="5"/>
      <c r="Z694" s="6"/>
    </row>
    <row r="695" ht="51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4"/>
      <c r="X695" s="5"/>
      <c r="Y695" s="5"/>
      <c r="Z695" s="6"/>
    </row>
    <row r="696" ht="51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4"/>
      <c r="X696" s="5"/>
      <c r="Y696" s="5"/>
      <c r="Z696" s="6"/>
    </row>
    <row r="697" ht="51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4"/>
      <c r="X697" s="5"/>
      <c r="Y697" s="5"/>
      <c r="Z697" s="6"/>
    </row>
    <row r="698" ht="51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4"/>
      <c r="X698" s="5"/>
      <c r="Y698" s="5"/>
      <c r="Z698" s="6"/>
    </row>
    <row r="699" ht="51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4"/>
      <c r="X699" s="5"/>
      <c r="Y699" s="5"/>
      <c r="Z699" s="6"/>
    </row>
    <row r="700" ht="51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4"/>
      <c r="X700" s="5"/>
      <c r="Y700" s="5"/>
      <c r="Z700" s="6"/>
    </row>
    <row r="701" ht="51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4"/>
      <c r="X701" s="5"/>
      <c r="Y701" s="5"/>
      <c r="Z701" s="6"/>
    </row>
    <row r="702" ht="51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4"/>
      <c r="X702" s="5"/>
      <c r="Y702" s="5"/>
      <c r="Z702" s="6"/>
    </row>
    <row r="703" ht="51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4"/>
      <c r="X703" s="5"/>
      <c r="Y703" s="5"/>
      <c r="Z703" s="6"/>
    </row>
    <row r="704" ht="51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4"/>
      <c r="X704" s="5"/>
      <c r="Y704" s="5"/>
      <c r="Z704" s="6"/>
    </row>
    <row r="705" ht="51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4"/>
      <c r="X705" s="5"/>
      <c r="Y705" s="5"/>
      <c r="Z705" s="6"/>
    </row>
    <row r="706" ht="51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4"/>
      <c r="X706" s="5"/>
      <c r="Y706" s="5"/>
      <c r="Z706" s="6"/>
    </row>
    <row r="707" ht="51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4"/>
      <c r="X707" s="5"/>
      <c r="Y707" s="5"/>
      <c r="Z707" s="6"/>
    </row>
    <row r="708" ht="51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4"/>
      <c r="X708" s="5"/>
      <c r="Y708" s="5"/>
      <c r="Z708" s="6"/>
    </row>
    <row r="709" ht="51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4"/>
      <c r="X709" s="5"/>
      <c r="Y709" s="5"/>
      <c r="Z709" s="6"/>
    </row>
    <row r="710" ht="51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4"/>
      <c r="X710" s="5"/>
      <c r="Y710" s="5"/>
      <c r="Z710" s="6"/>
    </row>
    <row r="711" ht="51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4"/>
      <c r="X711" s="5"/>
      <c r="Y711" s="5"/>
      <c r="Z711" s="6"/>
    </row>
    <row r="712" ht="51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4"/>
      <c r="X712" s="5"/>
      <c r="Y712" s="5"/>
      <c r="Z712" s="6"/>
    </row>
    <row r="713" ht="51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4"/>
      <c r="X713" s="5"/>
      <c r="Y713" s="5"/>
      <c r="Z713" s="6"/>
    </row>
    <row r="714" ht="51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4"/>
      <c r="X714" s="5"/>
      <c r="Y714" s="5"/>
      <c r="Z714" s="6"/>
    </row>
    <row r="715" ht="51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4"/>
      <c r="X715" s="5"/>
      <c r="Y715" s="5"/>
      <c r="Z715" s="6"/>
    </row>
    <row r="716" ht="51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4"/>
      <c r="X716" s="5"/>
      <c r="Y716" s="5"/>
      <c r="Z716" s="6"/>
    </row>
    <row r="717" ht="51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4"/>
      <c r="X717" s="5"/>
      <c r="Y717" s="5"/>
      <c r="Z717" s="6"/>
    </row>
    <row r="718" ht="51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4"/>
      <c r="X718" s="5"/>
      <c r="Y718" s="5"/>
      <c r="Z718" s="6"/>
    </row>
    <row r="719" ht="51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4"/>
      <c r="X719" s="5"/>
      <c r="Y719" s="5"/>
      <c r="Z719" s="6"/>
    </row>
    <row r="720" ht="51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4"/>
      <c r="X720" s="5"/>
      <c r="Y720" s="5"/>
      <c r="Z720" s="6"/>
    </row>
    <row r="721" ht="51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4"/>
      <c r="X721" s="5"/>
      <c r="Y721" s="5"/>
      <c r="Z721" s="6"/>
    </row>
    <row r="722" ht="51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4"/>
      <c r="X722" s="5"/>
      <c r="Y722" s="5"/>
      <c r="Z722" s="6"/>
    </row>
    <row r="723" ht="51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4"/>
      <c r="X723" s="5"/>
      <c r="Y723" s="5"/>
      <c r="Z723" s="6"/>
    </row>
    <row r="724" ht="51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4"/>
      <c r="X724" s="5"/>
      <c r="Y724" s="5"/>
      <c r="Z724" s="6"/>
    </row>
    <row r="725" ht="51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4"/>
      <c r="X725" s="5"/>
      <c r="Y725" s="5"/>
      <c r="Z725" s="6"/>
    </row>
    <row r="726" ht="51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4"/>
      <c r="X726" s="5"/>
      <c r="Y726" s="5"/>
      <c r="Z726" s="6"/>
    </row>
    <row r="727" ht="51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4"/>
      <c r="X727" s="5"/>
      <c r="Y727" s="5"/>
      <c r="Z727" s="6"/>
    </row>
    <row r="728" ht="51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4"/>
      <c r="X728" s="5"/>
      <c r="Y728" s="5"/>
      <c r="Z728" s="6"/>
    </row>
    <row r="729" ht="51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4"/>
      <c r="X729" s="5"/>
      <c r="Y729" s="5"/>
      <c r="Z729" s="6"/>
    </row>
    <row r="730" ht="51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4"/>
      <c r="X730" s="5"/>
      <c r="Y730" s="5"/>
      <c r="Z730" s="6"/>
    </row>
    <row r="731" ht="51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4"/>
      <c r="X731" s="5"/>
      <c r="Y731" s="5"/>
      <c r="Z731" s="6"/>
    </row>
    <row r="732" ht="51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4"/>
      <c r="X732" s="5"/>
      <c r="Y732" s="5"/>
      <c r="Z732" s="6"/>
    </row>
    <row r="733" ht="51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4"/>
      <c r="X733" s="5"/>
      <c r="Y733" s="5"/>
      <c r="Z733" s="6"/>
    </row>
    <row r="734" ht="51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4"/>
      <c r="X734" s="5"/>
      <c r="Y734" s="5"/>
      <c r="Z734" s="6"/>
    </row>
    <row r="735" ht="51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4"/>
      <c r="X735" s="5"/>
      <c r="Y735" s="5"/>
      <c r="Z735" s="6"/>
    </row>
    <row r="736" ht="51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4"/>
      <c r="X736" s="5"/>
      <c r="Y736" s="5"/>
      <c r="Z736" s="6"/>
    </row>
    <row r="737" ht="51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4"/>
      <c r="X737" s="5"/>
      <c r="Y737" s="5"/>
      <c r="Z737" s="6"/>
    </row>
    <row r="738" ht="51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4"/>
      <c r="X738" s="5"/>
      <c r="Y738" s="5"/>
      <c r="Z738" s="6"/>
    </row>
    <row r="739" ht="51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4"/>
      <c r="X739" s="5"/>
      <c r="Y739" s="5"/>
      <c r="Z739" s="6"/>
    </row>
    <row r="740" ht="51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4"/>
      <c r="X740" s="5"/>
      <c r="Y740" s="5"/>
      <c r="Z740" s="6"/>
    </row>
    <row r="741" ht="51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4"/>
      <c r="X741" s="5"/>
      <c r="Y741" s="5"/>
      <c r="Z741" s="6"/>
    </row>
    <row r="742" ht="51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4"/>
      <c r="X742" s="5"/>
      <c r="Y742" s="5"/>
      <c r="Z742" s="6"/>
    </row>
    <row r="743" ht="51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4"/>
      <c r="X743" s="5"/>
      <c r="Y743" s="5"/>
      <c r="Z743" s="6"/>
    </row>
    <row r="744" ht="51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4"/>
      <c r="X744" s="5"/>
      <c r="Y744" s="5"/>
      <c r="Z744" s="6"/>
    </row>
    <row r="745" ht="51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4"/>
      <c r="X745" s="5"/>
      <c r="Y745" s="5"/>
      <c r="Z745" s="6"/>
    </row>
    <row r="746" ht="51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4"/>
      <c r="X746" s="5"/>
      <c r="Y746" s="5"/>
      <c r="Z746" s="6"/>
    </row>
    <row r="747" ht="51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4"/>
      <c r="X747" s="5"/>
      <c r="Y747" s="5"/>
      <c r="Z747" s="6"/>
    </row>
    <row r="748" ht="51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4"/>
      <c r="X748" s="5"/>
      <c r="Y748" s="5"/>
      <c r="Z748" s="6"/>
    </row>
    <row r="749" ht="51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4"/>
      <c r="X749" s="5"/>
      <c r="Y749" s="5"/>
      <c r="Z749" s="6"/>
    </row>
    <row r="750" ht="51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4"/>
      <c r="X750" s="5"/>
      <c r="Y750" s="5"/>
      <c r="Z750" s="6"/>
    </row>
    <row r="751" ht="51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4"/>
      <c r="X751" s="5"/>
      <c r="Y751" s="5"/>
      <c r="Z751" s="6"/>
    </row>
    <row r="752" ht="51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4"/>
      <c r="X752" s="5"/>
      <c r="Y752" s="5"/>
      <c r="Z752" s="6"/>
    </row>
    <row r="753" ht="51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4"/>
      <c r="X753" s="5"/>
      <c r="Y753" s="5"/>
      <c r="Z753" s="6"/>
    </row>
    <row r="754" ht="51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4"/>
      <c r="X754" s="5"/>
      <c r="Y754" s="5"/>
      <c r="Z754" s="6"/>
    </row>
    <row r="755" ht="51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4"/>
      <c r="X755" s="5"/>
      <c r="Y755" s="5"/>
      <c r="Z755" s="6"/>
    </row>
    <row r="756" ht="51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4"/>
      <c r="X756" s="5"/>
      <c r="Y756" s="5"/>
      <c r="Z756" s="6"/>
    </row>
    <row r="757" ht="51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4"/>
      <c r="X757" s="5"/>
      <c r="Y757" s="5"/>
      <c r="Z757" s="6"/>
    </row>
    <row r="758" ht="51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4"/>
      <c r="X758" s="5"/>
      <c r="Y758" s="5"/>
      <c r="Z758" s="6"/>
    </row>
    <row r="759" ht="51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4"/>
      <c r="X759" s="5"/>
      <c r="Y759" s="5"/>
      <c r="Z759" s="6"/>
    </row>
    <row r="760" ht="51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4"/>
      <c r="X760" s="5"/>
      <c r="Y760" s="5"/>
      <c r="Z760" s="6"/>
    </row>
    <row r="761" ht="51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4"/>
      <c r="X761" s="5"/>
      <c r="Y761" s="5"/>
      <c r="Z761" s="6"/>
    </row>
    <row r="762" ht="51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4"/>
      <c r="X762" s="5"/>
      <c r="Y762" s="5"/>
      <c r="Z762" s="6"/>
    </row>
    <row r="763" ht="51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4"/>
      <c r="X763" s="5"/>
      <c r="Y763" s="5"/>
      <c r="Z763" s="6"/>
    </row>
    <row r="764" ht="51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4"/>
      <c r="X764" s="5"/>
      <c r="Y764" s="5"/>
      <c r="Z764" s="6"/>
    </row>
    <row r="765" ht="51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4"/>
      <c r="X765" s="5"/>
      <c r="Y765" s="5"/>
      <c r="Z765" s="6"/>
    </row>
    <row r="766" ht="51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4"/>
      <c r="X766" s="5"/>
      <c r="Y766" s="5"/>
      <c r="Z766" s="6"/>
    </row>
    <row r="767" ht="51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4"/>
      <c r="X767" s="5"/>
      <c r="Y767" s="5"/>
      <c r="Z767" s="6"/>
    </row>
    <row r="768" ht="51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4"/>
      <c r="X768" s="5"/>
      <c r="Y768" s="5"/>
      <c r="Z768" s="6"/>
    </row>
    <row r="769" ht="51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4"/>
      <c r="X769" s="5"/>
      <c r="Y769" s="5"/>
      <c r="Z769" s="6"/>
    </row>
    <row r="770" ht="51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4"/>
      <c r="X770" s="5"/>
      <c r="Y770" s="5"/>
      <c r="Z770" s="6"/>
    </row>
    <row r="771" ht="51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4"/>
      <c r="X771" s="5"/>
      <c r="Y771" s="5"/>
      <c r="Z771" s="6"/>
    </row>
    <row r="772" ht="51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4"/>
      <c r="X772" s="5"/>
      <c r="Y772" s="5"/>
      <c r="Z772" s="6"/>
    </row>
    <row r="773" ht="51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4"/>
      <c r="X773" s="5"/>
      <c r="Y773" s="5"/>
      <c r="Z773" s="6"/>
    </row>
    <row r="774" ht="51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4"/>
      <c r="X774" s="5"/>
      <c r="Y774" s="5"/>
      <c r="Z774" s="6"/>
    </row>
    <row r="775" ht="51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4"/>
      <c r="X775" s="5"/>
      <c r="Y775" s="5"/>
      <c r="Z775" s="6"/>
    </row>
    <row r="776" ht="51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4"/>
      <c r="X776" s="5"/>
      <c r="Y776" s="5"/>
      <c r="Z776" s="6"/>
    </row>
    <row r="777" ht="51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4"/>
      <c r="X777" s="5"/>
      <c r="Y777" s="5"/>
      <c r="Z777" s="6"/>
    </row>
    <row r="778" ht="51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4"/>
      <c r="X778" s="5"/>
      <c r="Y778" s="5"/>
      <c r="Z778" s="6"/>
    </row>
    <row r="779" ht="51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4"/>
      <c r="X779" s="5"/>
      <c r="Y779" s="5"/>
      <c r="Z779" s="6"/>
    </row>
    <row r="780" ht="51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4"/>
      <c r="X780" s="5"/>
      <c r="Y780" s="5"/>
      <c r="Z780" s="6"/>
    </row>
    <row r="781" ht="51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4"/>
      <c r="X781" s="5"/>
      <c r="Y781" s="5"/>
      <c r="Z781" s="6"/>
    </row>
    <row r="782" ht="51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4"/>
      <c r="X782" s="5"/>
      <c r="Y782" s="5"/>
      <c r="Z782" s="6"/>
    </row>
    <row r="783" ht="51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4"/>
      <c r="X783" s="5"/>
      <c r="Y783" s="5"/>
      <c r="Z783" s="6"/>
    </row>
    <row r="784" ht="51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4"/>
      <c r="X784" s="5"/>
      <c r="Y784" s="5"/>
      <c r="Z784" s="6"/>
    </row>
    <row r="785" ht="51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4"/>
      <c r="X785" s="5"/>
      <c r="Y785" s="5"/>
      <c r="Z785" s="6"/>
    </row>
    <row r="786" ht="51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4"/>
      <c r="X786" s="5"/>
      <c r="Y786" s="5"/>
      <c r="Z786" s="6"/>
    </row>
    <row r="787" ht="51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4"/>
      <c r="X787" s="5"/>
      <c r="Y787" s="5"/>
      <c r="Z787" s="6"/>
    </row>
    <row r="788" ht="51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4"/>
      <c r="X788" s="5"/>
      <c r="Y788" s="5"/>
      <c r="Z788" s="6"/>
    </row>
    <row r="789" ht="51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4"/>
      <c r="X789" s="5"/>
      <c r="Y789" s="5"/>
      <c r="Z789" s="6"/>
    </row>
    <row r="790" ht="51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4"/>
      <c r="X790" s="5"/>
      <c r="Y790" s="5"/>
      <c r="Z790" s="6"/>
    </row>
    <row r="791" ht="51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4"/>
      <c r="X791" s="5"/>
      <c r="Y791" s="5"/>
      <c r="Z791" s="6"/>
    </row>
    <row r="792" ht="51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4"/>
      <c r="X792" s="5"/>
      <c r="Y792" s="5"/>
      <c r="Z792" s="6"/>
    </row>
    <row r="793" ht="51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4"/>
      <c r="X793" s="5"/>
      <c r="Y793" s="5"/>
      <c r="Z793" s="6"/>
    </row>
    <row r="794" ht="51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4"/>
      <c r="X794" s="5"/>
      <c r="Y794" s="5"/>
      <c r="Z794" s="6"/>
    </row>
    <row r="795" ht="51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4"/>
      <c r="X795" s="5"/>
      <c r="Y795" s="5"/>
      <c r="Z795" s="6"/>
    </row>
    <row r="796" ht="51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4"/>
      <c r="X796" s="5"/>
      <c r="Y796" s="5"/>
      <c r="Z796" s="6"/>
    </row>
    <row r="797" ht="51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4"/>
      <c r="X797" s="5"/>
      <c r="Y797" s="5"/>
      <c r="Z797" s="6"/>
    </row>
    <row r="798" ht="51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4"/>
      <c r="X798" s="5"/>
      <c r="Y798" s="5"/>
      <c r="Z798" s="6"/>
    </row>
    <row r="799" ht="51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4"/>
      <c r="X799" s="5"/>
      <c r="Y799" s="5"/>
      <c r="Z799" s="6"/>
    </row>
    <row r="800" ht="51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4"/>
      <c r="X800" s="5"/>
      <c r="Y800" s="5"/>
      <c r="Z800" s="6"/>
    </row>
    <row r="801" ht="51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4"/>
      <c r="X801" s="5"/>
      <c r="Y801" s="5"/>
      <c r="Z801" s="6"/>
    </row>
    <row r="802" ht="51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4"/>
      <c r="X802" s="5"/>
      <c r="Y802" s="5"/>
      <c r="Z802" s="6"/>
    </row>
    <row r="803" ht="51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4"/>
      <c r="X803" s="5"/>
      <c r="Y803" s="5"/>
      <c r="Z803" s="6"/>
    </row>
    <row r="804" ht="51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4"/>
      <c r="X804" s="5"/>
      <c r="Y804" s="5"/>
      <c r="Z804" s="6"/>
    </row>
    <row r="805" ht="51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4"/>
      <c r="X805" s="5"/>
      <c r="Y805" s="5"/>
      <c r="Z805" s="6"/>
    </row>
    <row r="806" ht="51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4"/>
      <c r="X806" s="5"/>
      <c r="Y806" s="5"/>
      <c r="Z806" s="6"/>
    </row>
    <row r="807" ht="51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4"/>
      <c r="X807" s="5"/>
      <c r="Y807" s="5"/>
      <c r="Z807" s="6"/>
    </row>
    <row r="808" ht="51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4"/>
      <c r="X808" s="5"/>
      <c r="Y808" s="5"/>
      <c r="Z808" s="6"/>
    </row>
    <row r="809" ht="51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4"/>
      <c r="X809" s="5"/>
      <c r="Y809" s="5"/>
      <c r="Z809" s="6"/>
    </row>
    <row r="810" ht="51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4"/>
      <c r="X810" s="5"/>
      <c r="Y810" s="5"/>
      <c r="Z810" s="6"/>
    </row>
    <row r="811" ht="51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4"/>
      <c r="X811" s="5"/>
      <c r="Y811" s="5"/>
      <c r="Z811" s="6"/>
    </row>
    <row r="812" ht="51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4"/>
      <c r="X812" s="5"/>
      <c r="Y812" s="5"/>
      <c r="Z812" s="6"/>
    </row>
    <row r="813" ht="51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4"/>
      <c r="X813" s="5"/>
      <c r="Y813" s="5"/>
      <c r="Z813" s="6"/>
    </row>
    <row r="814" ht="51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4"/>
      <c r="X814" s="5"/>
      <c r="Y814" s="5"/>
      <c r="Z814" s="6"/>
    </row>
    <row r="815" ht="51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4"/>
      <c r="X815" s="5"/>
      <c r="Y815" s="5"/>
      <c r="Z815" s="6"/>
    </row>
    <row r="816" ht="51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4"/>
      <c r="X816" s="5"/>
      <c r="Y816" s="5"/>
      <c r="Z816" s="6"/>
    </row>
    <row r="817" ht="51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4"/>
      <c r="X817" s="5"/>
      <c r="Y817" s="5"/>
      <c r="Z817" s="6"/>
    </row>
    <row r="818" ht="51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4"/>
      <c r="X818" s="5"/>
      <c r="Y818" s="5"/>
      <c r="Z818" s="6"/>
    </row>
    <row r="819" ht="51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4"/>
      <c r="X819" s="5"/>
      <c r="Y819" s="5"/>
      <c r="Z819" s="6"/>
    </row>
    <row r="820" ht="51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4"/>
      <c r="X820" s="5"/>
      <c r="Y820" s="5"/>
      <c r="Z820" s="6"/>
    </row>
    <row r="821" ht="51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4"/>
      <c r="X821" s="5"/>
      <c r="Y821" s="5"/>
      <c r="Z821" s="6"/>
    </row>
    <row r="822" ht="51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4"/>
      <c r="X822" s="5"/>
      <c r="Y822" s="5"/>
      <c r="Z822" s="6"/>
    </row>
    <row r="823" ht="51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4"/>
      <c r="X823" s="5"/>
      <c r="Y823" s="5"/>
      <c r="Z823" s="6"/>
    </row>
    <row r="824" ht="51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4"/>
      <c r="X824" s="5"/>
      <c r="Y824" s="5"/>
      <c r="Z824" s="6"/>
    </row>
    <row r="825" ht="51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4"/>
      <c r="X825" s="5"/>
      <c r="Y825" s="5"/>
      <c r="Z825" s="6"/>
    </row>
    <row r="826" ht="51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4"/>
      <c r="X826" s="5"/>
      <c r="Y826" s="5"/>
      <c r="Z826" s="6"/>
    </row>
    <row r="827" ht="51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4"/>
      <c r="X827" s="5"/>
      <c r="Y827" s="5"/>
      <c r="Z827" s="6"/>
    </row>
    <row r="828" ht="51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4"/>
      <c r="X828" s="5"/>
      <c r="Y828" s="5"/>
      <c r="Z828" s="6"/>
    </row>
    <row r="829" ht="51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4"/>
      <c r="X829" s="5"/>
      <c r="Y829" s="5"/>
      <c r="Z829" s="6"/>
    </row>
    <row r="830" ht="51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4"/>
      <c r="X830" s="5"/>
      <c r="Y830" s="5"/>
      <c r="Z830" s="6"/>
    </row>
    <row r="831" ht="51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4"/>
      <c r="X831" s="5"/>
      <c r="Y831" s="5"/>
      <c r="Z831" s="6"/>
    </row>
    <row r="832" ht="51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4"/>
      <c r="X832" s="5"/>
      <c r="Y832" s="5"/>
      <c r="Z832" s="6"/>
    </row>
    <row r="833" ht="51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4"/>
      <c r="X833" s="5"/>
      <c r="Y833" s="5"/>
      <c r="Z833" s="6"/>
    </row>
    <row r="834" ht="51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4"/>
      <c r="X834" s="5"/>
      <c r="Y834" s="5"/>
      <c r="Z834" s="6"/>
    </row>
    <row r="835" ht="51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4"/>
      <c r="X835" s="5"/>
      <c r="Y835" s="5"/>
      <c r="Z835" s="6"/>
    </row>
    <row r="836" ht="51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4"/>
      <c r="X836" s="5"/>
      <c r="Y836" s="5"/>
      <c r="Z836" s="6"/>
    </row>
    <row r="837" ht="51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4"/>
      <c r="X837" s="5"/>
      <c r="Y837" s="5"/>
      <c r="Z837" s="6"/>
    </row>
    <row r="838" ht="51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4"/>
      <c r="X838" s="5"/>
      <c r="Y838" s="5"/>
      <c r="Z838" s="6"/>
    </row>
    <row r="839" ht="51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4"/>
      <c r="X839" s="5"/>
      <c r="Y839" s="5"/>
      <c r="Z839" s="6"/>
    </row>
    <row r="840" ht="51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4"/>
      <c r="X840" s="5"/>
      <c r="Y840" s="5"/>
      <c r="Z840" s="6"/>
    </row>
    <row r="841" ht="51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4"/>
      <c r="X841" s="5"/>
      <c r="Y841" s="5"/>
      <c r="Z841" s="6"/>
    </row>
    <row r="842" ht="51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4"/>
      <c r="X842" s="5"/>
      <c r="Y842" s="5"/>
      <c r="Z842" s="6"/>
    </row>
    <row r="843" ht="51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4"/>
      <c r="X843" s="5"/>
      <c r="Y843" s="5"/>
      <c r="Z843" s="6"/>
    </row>
    <row r="844" ht="51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4"/>
      <c r="X844" s="5"/>
      <c r="Y844" s="5"/>
      <c r="Z844" s="6"/>
    </row>
    <row r="845" ht="51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4"/>
      <c r="X845" s="5"/>
      <c r="Y845" s="5"/>
      <c r="Z845" s="6"/>
    </row>
    <row r="846" ht="51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4"/>
      <c r="X846" s="5"/>
      <c r="Y846" s="5"/>
      <c r="Z846" s="6"/>
    </row>
    <row r="847" ht="51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4"/>
      <c r="X847" s="5"/>
      <c r="Y847" s="5"/>
      <c r="Z847" s="6"/>
    </row>
    <row r="848" ht="51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4"/>
      <c r="X848" s="5"/>
      <c r="Y848" s="5"/>
      <c r="Z848" s="6"/>
    </row>
    <row r="849" ht="51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4"/>
      <c r="X849" s="5"/>
      <c r="Y849" s="5"/>
      <c r="Z849" s="6"/>
    </row>
    <row r="850" ht="51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4"/>
      <c r="X850" s="5"/>
      <c r="Y850" s="5"/>
      <c r="Z850" s="6"/>
    </row>
    <row r="851" ht="51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4"/>
      <c r="X851" s="5"/>
      <c r="Y851" s="5"/>
      <c r="Z851" s="6"/>
    </row>
    <row r="852" ht="51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4"/>
      <c r="X852" s="5"/>
      <c r="Y852" s="5"/>
      <c r="Z852" s="6"/>
    </row>
    <row r="853" ht="51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4"/>
      <c r="X853" s="5"/>
      <c r="Y853" s="5"/>
      <c r="Z853" s="6"/>
    </row>
    <row r="854" ht="51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4"/>
      <c r="X854" s="5"/>
      <c r="Y854" s="5"/>
      <c r="Z854" s="6"/>
    </row>
    <row r="855" ht="51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4"/>
      <c r="X855" s="5"/>
      <c r="Y855" s="5"/>
      <c r="Z855" s="6"/>
    </row>
    <row r="856" ht="51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4"/>
      <c r="X856" s="5"/>
      <c r="Y856" s="5"/>
      <c r="Z856" s="6"/>
    </row>
    <row r="857" ht="51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4"/>
      <c r="X857" s="5"/>
      <c r="Y857" s="5"/>
      <c r="Z857" s="6"/>
    </row>
    <row r="858" ht="51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4"/>
      <c r="X858" s="5"/>
      <c r="Y858" s="5"/>
      <c r="Z858" s="6"/>
    </row>
    <row r="859" ht="51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4"/>
      <c r="X859" s="5"/>
      <c r="Y859" s="5"/>
      <c r="Z859" s="6"/>
    </row>
    <row r="860" ht="51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4"/>
      <c r="X860" s="5"/>
      <c r="Y860" s="5"/>
      <c r="Z860" s="6"/>
    </row>
    <row r="861" ht="51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4"/>
      <c r="X861" s="5"/>
      <c r="Y861" s="5"/>
      <c r="Z861" s="6"/>
    </row>
    <row r="862" ht="51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4"/>
      <c r="X862" s="5"/>
      <c r="Y862" s="5"/>
      <c r="Z862" s="6"/>
    </row>
    <row r="863" ht="51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4"/>
      <c r="X863" s="5"/>
      <c r="Y863" s="5"/>
      <c r="Z863" s="6"/>
    </row>
    <row r="864" ht="51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4"/>
      <c r="X864" s="5"/>
      <c r="Y864" s="5"/>
      <c r="Z864" s="6"/>
    </row>
    <row r="865" ht="51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4"/>
      <c r="X865" s="5"/>
      <c r="Y865" s="5"/>
      <c r="Z865" s="6"/>
    </row>
    <row r="866" ht="51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4"/>
      <c r="X866" s="5"/>
      <c r="Y866" s="5"/>
      <c r="Z866" s="6"/>
    </row>
    <row r="867" ht="51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4"/>
      <c r="X867" s="5"/>
      <c r="Y867" s="5"/>
      <c r="Z867" s="6"/>
    </row>
    <row r="868" ht="51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4"/>
      <c r="X868" s="5"/>
      <c r="Y868" s="5"/>
      <c r="Z868" s="6"/>
    </row>
    <row r="869" ht="51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4"/>
      <c r="X869" s="5"/>
      <c r="Y869" s="5"/>
      <c r="Z869" s="6"/>
    </row>
    <row r="870" ht="51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4"/>
      <c r="X870" s="5"/>
      <c r="Y870" s="5"/>
      <c r="Z870" s="6"/>
    </row>
    <row r="871" ht="51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4"/>
      <c r="X871" s="5"/>
      <c r="Y871" s="5"/>
      <c r="Z871" s="6"/>
    </row>
    <row r="872" ht="51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4"/>
      <c r="X872" s="5"/>
      <c r="Y872" s="5"/>
      <c r="Z872" s="6"/>
    </row>
    <row r="873" ht="51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4"/>
      <c r="X873" s="5"/>
      <c r="Y873" s="5"/>
      <c r="Z873" s="6"/>
    </row>
    <row r="874" ht="51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4"/>
      <c r="X874" s="5"/>
      <c r="Y874" s="5"/>
      <c r="Z874" s="6"/>
    </row>
    <row r="875" ht="51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4"/>
      <c r="X875" s="5"/>
      <c r="Y875" s="5"/>
      <c r="Z875" s="6"/>
    </row>
    <row r="876" ht="51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4"/>
      <c r="X876" s="5"/>
      <c r="Y876" s="5"/>
      <c r="Z876" s="6"/>
    </row>
    <row r="877" ht="51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4"/>
      <c r="X877" s="5"/>
      <c r="Y877" s="5"/>
      <c r="Z877" s="6"/>
    </row>
    <row r="878" ht="51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4"/>
      <c r="X878" s="5"/>
      <c r="Y878" s="5"/>
      <c r="Z878" s="6"/>
    </row>
    <row r="879" ht="51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4"/>
      <c r="X879" s="5"/>
      <c r="Y879" s="5"/>
      <c r="Z879" s="6"/>
    </row>
    <row r="880" ht="51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4"/>
      <c r="X880" s="5"/>
      <c r="Y880" s="5"/>
      <c r="Z880" s="6"/>
    </row>
    <row r="881" ht="51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4"/>
      <c r="X881" s="5"/>
      <c r="Y881" s="5"/>
      <c r="Z881" s="6"/>
    </row>
    <row r="882" ht="51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4"/>
      <c r="X882" s="5"/>
      <c r="Y882" s="5"/>
      <c r="Z882" s="6"/>
    </row>
    <row r="883" ht="51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4"/>
      <c r="X883" s="5"/>
      <c r="Y883" s="5"/>
      <c r="Z883" s="6"/>
    </row>
    <row r="884" ht="51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4"/>
      <c r="X884" s="5"/>
      <c r="Y884" s="5"/>
      <c r="Z884" s="6"/>
    </row>
    <row r="885" ht="51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4"/>
      <c r="X885" s="5"/>
      <c r="Y885" s="5"/>
      <c r="Z885" s="6"/>
    </row>
    <row r="886" ht="51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4"/>
      <c r="X886" s="5"/>
      <c r="Y886" s="5"/>
      <c r="Z886" s="6"/>
    </row>
    <row r="887" ht="51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4"/>
      <c r="X887" s="5"/>
      <c r="Y887" s="5"/>
      <c r="Z887" s="6"/>
    </row>
    <row r="888" ht="51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4"/>
      <c r="X888" s="5"/>
      <c r="Y888" s="5"/>
      <c r="Z888" s="6"/>
    </row>
    <row r="889" ht="51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4"/>
      <c r="X889" s="5"/>
      <c r="Y889" s="5"/>
      <c r="Z889" s="6"/>
    </row>
    <row r="890" ht="51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4"/>
      <c r="X890" s="5"/>
      <c r="Y890" s="5"/>
      <c r="Z890" s="6"/>
    </row>
    <row r="891" ht="51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4"/>
      <c r="X891" s="5"/>
      <c r="Y891" s="5"/>
      <c r="Z891" s="6"/>
    </row>
    <row r="892" ht="51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4"/>
      <c r="X892" s="5"/>
      <c r="Y892" s="5"/>
      <c r="Z892" s="6"/>
    </row>
    <row r="893" ht="51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4"/>
      <c r="X893" s="5"/>
      <c r="Y893" s="5"/>
      <c r="Z893" s="6"/>
    </row>
    <row r="894" ht="51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4"/>
      <c r="X894" s="5"/>
      <c r="Y894" s="5"/>
      <c r="Z894" s="6"/>
    </row>
    <row r="895" ht="51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4"/>
      <c r="X895" s="5"/>
      <c r="Y895" s="5"/>
      <c r="Z895" s="6"/>
    </row>
    <row r="896" ht="51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4"/>
      <c r="X896" s="5"/>
      <c r="Y896" s="5"/>
      <c r="Z896" s="6"/>
    </row>
    <row r="897" ht="51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4"/>
      <c r="X897" s="5"/>
      <c r="Y897" s="5"/>
      <c r="Z897" s="6"/>
    </row>
    <row r="898" ht="51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4"/>
      <c r="X898" s="5"/>
      <c r="Y898" s="5"/>
      <c r="Z898" s="6"/>
    </row>
    <row r="899" ht="51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4"/>
      <c r="X899" s="5"/>
      <c r="Y899" s="5"/>
      <c r="Z899" s="6"/>
    </row>
    <row r="900" ht="51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4"/>
      <c r="X900" s="5"/>
      <c r="Y900" s="5"/>
      <c r="Z900" s="6"/>
    </row>
    <row r="901" ht="51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4"/>
      <c r="X901" s="5"/>
      <c r="Y901" s="5"/>
      <c r="Z901" s="6"/>
    </row>
    <row r="902" ht="51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4"/>
      <c r="X902" s="5"/>
      <c r="Y902" s="5"/>
      <c r="Z902" s="6"/>
    </row>
    <row r="903" ht="51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4"/>
      <c r="X903" s="5"/>
      <c r="Y903" s="5"/>
      <c r="Z903" s="6"/>
    </row>
    <row r="904" ht="51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4"/>
      <c r="X904" s="5"/>
      <c r="Y904" s="5"/>
      <c r="Z904" s="6"/>
    </row>
    <row r="905" ht="51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4"/>
      <c r="X905" s="5"/>
      <c r="Y905" s="5"/>
      <c r="Z905" s="6"/>
    </row>
    <row r="906" ht="51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4"/>
      <c r="X906" s="5"/>
      <c r="Y906" s="5"/>
      <c r="Z906" s="6"/>
    </row>
    <row r="907" ht="51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4"/>
      <c r="X907" s="5"/>
      <c r="Y907" s="5"/>
      <c r="Z907" s="6"/>
    </row>
    <row r="908" ht="51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4"/>
      <c r="X908" s="5"/>
      <c r="Y908" s="5"/>
      <c r="Z908" s="6"/>
    </row>
    <row r="909" ht="51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4"/>
      <c r="X909" s="5"/>
      <c r="Y909" s="5"/>
      <c r="Z909" s="6"/>
    </row>
    <row r="910" ht="51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4"/>
      <c r="X910" s="5"/>
      <c r="Y910" s="5"/>
      <c r="Z910" s="6"/>
    </row>
    <row r="911" ht="51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4"/>
      <c r="X911" s="5"/>
      <c r="Y911" s="5"/>
      <c r="Z911" s="6"/>
    </row>
    <row r="912" ht="51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4"/>
      <c r="X912" s="5"/>
      <c r="Y912" s="5"/>
      <c r="Z912" s="6"/>
    </row>
    <row r="913" ht="51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4"/>
      <c r="X913" s="5"/>
      <c r="Y913" s="5"/>
      <c r="Z913" s="6"/>
    </row>
    <row r="914" ht="51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4"/>
      <c r="X914" s="5"/>
      <c r="Y914" s="5"/>
      <c r="Z914" s="6"/>
    </row>
    <row r="915" ht="51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4"/>
      <c r="X915" s="5"/>
      <c r="Y915" s="5"/>
      <c r="Z915" s="6"/>
    </row>
    <row r="916" ht="51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4"/>
      <c r="X916" s="5"/>
      <c r="Y916" s="5"/>
      <c r="Z916" s="6"/>
    </row>
    <row r="917" ht="51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4"/>
      <c r="X917" s="5"/>
      <c r="Y917" s="5"/>
      <c r="Z917" s="6"/>
    </row>
    <row r="918" ht="51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4"/>
      <c r="X918" s="5"/>
      <c r="Y918" s="5"/>
      <c r="Z918" s="6"/>
    </row>
    <row r="919" ht="51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4"/>
      <c r="X919" s="5"/>
      <c r="Y919" s="5"/>
      <c r="Z919" s="6"/>
    </row>
    <row r="920" ht="51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4"/>
      <c r="X920" s="5"/>
      <c r="Y920" s="5"/>
      <c r="Z920" s="6"/>
    </row>
    <row r="921" ht="51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4"/>
      <c r="X921" s="5"/>
      <c r="Y921" s="5"/>
      <c r="Z921" s="6"/>
    </row>
    <row r="922" ht="51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4"/>
      <c r="X922" s="5"/>
      <c r="Y922" s="5"/>
      <c r="Z922" s="6"/>
    </row>
    <row r="923" ht="51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4"/>
      <c r="X923" s="5"/>
      <c r="Y923" s="5"/>
      <c r="Z923" s="6"/>
    </row>
    <row r="924" ht="51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4"/>
      <c r="X924" s="5"/>
      <c r="Y924" s="5"/>
      <c r="Z924" s="6"/>
    </row>
    <row r="925" ht="51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4"/>
      <c r="X925" s="5"/>
      <c r="Y925" s="5"/>
      <c r="Z925" s="6"/>
    </row>
    <row r="926" ht="51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4"/>
      <c r="X926" s="5"/>
      <c r="Y926" s="5"/>
      <c r="Z926" s="6"/>
    </row>
    <row r="927" ht="51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4"/>
      <c r="X927" s="5"/>
      <c r="Y927" s="5"/>
      <c r="Z927" s="6"/>
    </row>
    <row r="928" ht="51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4"/>
      <c r="X928" s="5"/>
      <c r="Y928" s="5"/>
      <c r="Z928" s="6"/>
    </row>
    <row r="929" ht="51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4"/>
      <c r="X929" s="5"/>
      <c r="Y929" s="5"/>
      <c r="Z929" s="6"/>
    </row>
    <row r="930" ht="51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4"/>
      <c r="X930" s="5"/>
      <c r="Y930" s="5"/>
      <c r="Z930" s="6"/>
    </row>
    <row r="931" ht="51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4"/>
      <c r="X931" s="5"/>
      <c r="Y931" s="5"/>
      <c r="Z931" s="6"/>
    </row>
    <row r="932" ht="51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4"/>
      <c r="X932" s="5"/>
      <c r="Y932" s="5"/>
      <c r="Z932" s="6"/>
    </row>
    <row r="933" ht="51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4"/>
      <c r="X933" s="5"/>
      <c r="Y933" s="5"/>
      <c r="Z933" s="6"/>
    </row>
    <row r="934" ht="51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4"/>
      <c r="X934" s="5"/>
      <c r="Y934" s="5"/>
      <c r="Z934" s="6"/>
    </row>
    <row r="935" ht="51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4"/>
      <c r="X935" s="5"/>
      <c r="Y935" s="5"/>
      <c r="Z935" s="6"/>
    </row>
    <row r="936" ht="51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4"/>
      <c r="X936" s="5"/>
      <c r="Y936" s="5"/>
      <c r="Z936" s="6"/>
    </row>
    <row r="937" ht="51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4"/>
      <c r="X937" s="5"/>
      <c r="Y937" s="5"/>
      <c r="Z937" s="6"/>
    </row>
    <row r="938" ht="51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4"/>
      <c r="X938" s="5"/>
      <c r="Y938" s="5"/>
      <c r="Z938" s="6"/>
    </row>
    <row r="939" ht="51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4"/>
      <c r="X939" s="5"/>
      <c r="Y939" s="5"/>
      <c r="Z939" s="6"/>
    </row>
    <row r="940" ht="51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4"/>
      <c r="X940" s="5"/>
      <c r="Y940" s="5"/>
      <c r="Z940" s="6"/>
    </row>
    <row r="941" ht="51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4"/>
      <c r="X941" s="5"/>
      <c r="Y941" s="5"/>
      <c r="Z941" s="6"/>
    </row>
    <row r="942" ht="51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4"/>
      <c r="X942" s="5"/>
      <c r="Y942" s="5"/>
      <c r="Z942" s="6"/>
    </row>
    <row r="943" ht="51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4"/>
      <c r="X943" s="5"/>
      <c r="Y943" s="5"/>
      <c r="Z943" s="6"/>
    </row>
    <row r="944" ht="51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4"/>
      <c r="X944" s="5"/>
      <c r="Y944" s="5"/>
      <c r="Z944" s="6"/>
    </row>
    <row r="945" ht="51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4"/>
      <c r="X945" s="5"/>
      <c r="Y945" s="5"/>
      <c r="Z945" s="6"/>
    </row>
    <row r="946" ht="51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4"/>
      <c r="X946" s="5"/>
      <c r="Y946" s="5"/>
      <c r="Z946" s="6"/>
    </row>
    <row r="947" ht="51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4"/>
      <c r="X947" s="5"/>
      <c r="Y947" s="5"/>
      <c r="Z947" s="6"/>
    </row>
    <row r="948" ht="51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4"/>
      <c r="X948" s="5"/>
      <c r="Y948" s="5"/>
      <c r="Z948" s="6"/>
    </row>
    <row r="949" ht="51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4"/>
      <c r="X949" s="5"/>
      <c r="Y949" s="5"/>
      <c r="Z949" s="6"/>
    </row>
    <row r="950" ht="51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4"/>
      <c r="X950" s="5"/>
      <c r="Y950" s="5"/>
      <c r="Z950" s="6"/>
    </row>
    <row r="951" ht="51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4"/>
      <c r="X951" s="5"/>
      <c r="Y951" s="5"/>
      <c r="Z951" s="6"/>
    </row>
    <row r="952" ht="51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4"/>
      <c r="X952" s="5"/>
      <c r="Y952" s="5"/>
      <c r="Z952" s="6"/>
    </row>
    <row r="953" ht="51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4"/>
      <c r="X953" s="5"/>
      <c r="Y953" s="5"/>
      <c r="Z953" s="6"/>
    </row>
    <row r="954" ht="51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4"/>
      <c r="X954" s="5"/>
      <c r="Y954" s="5"/>
      <c r="Z954" s="6"/>
    </row>
    <row r="955" ht="51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4"/>
      <c r="X955" s="5"/>
      <c r="Y955" s="5"/>
      <c r="Z955" s="6"/>
    </row>
    <row r="956" ht="51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4"/>
      <c r="X956" s="5"/>
      <c r="Y956" s="5"/>
      <c r="Z956" s="6"/>
    </row>
    <row r="957" ht="51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4"/>
      <c r="X957" s="5"/>
      <c r="Y957" s="5"/>
      <c r="Z957" s="6"/>
    </row>
    <row r="958" ht="51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4"/>
      <c r="X958" s="5"/>
      <c r="Y958" s="5"/>
      <c r="Z958" s="6"/>
    </row>
    <row r="959" ht="51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4"/>
      <c r="X959" s="5"/>
      <c r="Y959" s="5"/>
      <c r="Z959" s="6"/>
    </row>
    <row r="960" ht="51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4"/>
      <c r="X960" s="5"/>
      <c r="Y960" s="5"/>
      <c r="Z960" s="6"/>
    </row>
    <row r="961" ht="51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4"/>
      <c r="X961" s="5"/>
      <c r="Y961" s="5"/>
      <c r="Z961" s="6"/>
    </row>
    <row r="962" ht="51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4"/>
      <c r="X962" s="5"/>
      <c r="Y962" s="5"/>
      <c r="Z962" s="6"/>
    </row>
    <row r="963" ht="51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4"/>
      <c r="X963" s="5"/>
      <c r="Y963" s="5"/>
      <c r="Z963" s="6"/>
    </row>
    <row r="964" ht="51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4"/>
      <c r="X964" s="5"/>
      <c r="Y964" s="5"/>
      <c r="Z964" s="6"/>
    </row>
    <row r="965" ht="51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4"/>
      <c r="X965" s="5"/>
      <c r="Y965" s="5"/>
      <c r="Z965" s="6"/>
    </row>
    <row r="966" ht="51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4"/>
      <c r="X966" s="5"/>
      <c r="Y966" s="5"/>
      <c r="Z966" s="6"/>
    </row>
    <row r="967" ht="51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4"/>
      <c r="X967" s="5"/>
      <c r="Y967" s="5"/>
      <c r="Z967" s="6"/>
    </row>
    <row r="968" ht="51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4"/>
      <c r="X968" s="5"/>
      <c r="Y968" s="5"/>
      <c r="Z968" s="6"/>
    </row>
    <row r="969" ht="51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4"/>
      <c r="X969" s="5"/>
      <c r="Y969" s="5"/>
      <c r="Z969" s="6"/>
    </row>
    <row r="970" ht="51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4"/>
      <c r="X970" s="5"/>
      <c r="Y970" s="5"/>
      <c r="Z970" s="6"/>
    </row>
    <row r="971" ht="51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4"/>
      <c r="X971" s="5"/>
      <c r="Y971" s="5"/>
      <c r="Z971" s="6"/>
    </row>
    <row r="972" ht="51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4"/>
      <c r="X972" s="5"/>
      <c r="Y972" s="5"/>
      <c r="Z972" s="6"/>
    </row>
    <row r="973" ht="51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4"/>
      <c r="X973" s="5"/>
      <c r="Y973" s="5"/>
      <c r="Z973" s="6"/>
    </row>
    <row r="974" ht="51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4"/>
      <c r="X974" s="5"/>
      <c r="Y974" s="5"/>
      <c r="Z974" s="6"/>
    </row>
    <row r="975" ht="51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4"/>
      <c r="X975" s="5"/>
      <c r="Y975" s="5"/>
      <c r="Z975" s="6"/>
    </row>
    <row r="976" ht="51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4"/>
      <c r="X976" s="5"/>
      <c r="Y976" s="5"/>
      <c r="Z976" s="6"/>
    </row>
    <row r="977" ht="51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4"/>
      <c r="X977" s="5"/>
      <c r="Y977" s="5"/>
      <c r="Z977" s="6"/>
    </row>
    <row r="978" ht="51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4"/>
      <c r="X978" s="5"/>
      <c r="Y978" s="5"/>
      <c r="Z978" s="6"/>
    </row>
    <row r="979" ht="51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4"/>
      <c r="X979" s="5"/>
      <c r="Y979" s="5"/>
      <c r="Z979" s="6"/>
    </row>
    <row r="980" ht="51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4"/>
      <c r="X980" s="5"/>
      <c r="Y980" s="5"/>
      <c r="Z980" s="6"/>
    </row>
    <row r="981" ht="51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4"/>
      <c r="X981" s="5"/>
      <c r="Y981" s="5"/>
      <c r="Z981" s="6"/>
    </row>
    <row r="982" ht="51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4"/>
      <c r="X982" s="5"/>
      <c r="Y982" s="5"/>
      <c r="Z982" s="6"/>
    </row>
    <row r="983" ht="51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4"/>
      <c r="X983" s="5"/>
      <c r="Y983" s="5"/>
      <c r="Z983" s="6"/>
    </row>
    <row r="984" ht="51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4"/>
      <c r="X984" s="5"/>
      <c r="Y984" s="5"/>
      <c r="Z984" s="6"/>
    </row>
    <row r="985" ht="51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4"/>
      <c r="X985" s="5"/>
      <c r="Y985" s="5"/>
      <c r="Z985" s="6"/>
    </row>
    <row r="986" ht="51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4"/>
      <c r="X986" s="5"/>
      <c r="Y986" s="5"/>
      <c r="Z986" s="6"/>
    </row>
    <row r="987" ht="51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4"/>
      <c r="X987" s="5"/>
      <c r="Y987" s="5"/>
      <c r="Z987" s="6"/>
    </row>
    <row r="988" ht="51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4"/>
      <c r="X988" s="5"/>
      <c r="Y988" s="5"/>
      <c r="Z988" s="6"/>
    </row>
    <row r="989" ht="51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4"/>
      <c r="X989" s="5"/>
      <c r="Y989" s="5"/>
      <c r="Z989" s="6"/>
    </row>
    <row r="990" ht="51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4"/>
      <c r="X990" s="5"/>
      <c r="Y990" s="5"/>
      <c r="Z990" s="6"/>
    </row>
    <row r="991" ht="51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4"/>
      <c r="X991" s="5"/>
      <c r="Y991" s="5"/>
      <c r="Z991" s="6"/>
    </row>
    <row r="992" ht="51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4"/>
      <c r="X992" s="5"/>
      <c r="Y992" s="5"/>
      <c r="Z992" s="6"/>
    </row>
    <row r="993" ht="51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4"/>
      <c r="X993" s="5"/>
      <c r="Y993" s="5"/>
      <c r="Z993" s="6"/>
    </row>
    <row r="994" ht="51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4"/>
      <c r="X994" s="5"/>
      <c r="Y994" s="5"/>
      <c r="Z994" s="6"/>
    </row>
    <row r="995" ht="51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4"/>
      <c r="X995" s="5"/>
      <c r="Y995" s="5"/>
      <c r="Z995" s="6"/>
    </row>
    <row r="996" ht="51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4"/>
      <c r="X996" s="5"/>
      <c r="Y996" s="5"/>
      <c r="Z996" s="6"/>
    </row>
    <row r="997" ht="51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4"/>
      <c r="X997" s="5"/>
      <c r="Y997" s="5"/>
      <c r="Z997" s="6"/>
    </row>
    <row r="998" ht="51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4"/>
      <c r="X998" s="5"/>
      <c r="Y998" s="5"/>
      <c r="Z998" s="6"/>
    </row>
    <row r="999" ht="51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4"/>
      <c r="X999" s="5"/>
      <c r="Y999" s="5"/>
      <c r="Z999" s="6"/>
    </row>
    <row r="1000" ht="51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4"/>
      <c r="X1000" s="5"/>
      <c r="Y1000" s="5"/>
      <c r="Z1000" s="6"/>
    </row>
  </sheetData>
  <mergeCells count="37">
    <mergeCell ref="R14:R15"/>
    <mergeCell ref="S14:S15"/>
    <mergeCell ref="T14:T15"/>
    <mergeCell ref="U14:U15"/>
    <mergeCell ref="W14:W15"/>
    <mergeCell ref="X14:X15"/>
    <mergeCell ref="Y14:Y15"/>
    <mergeCell ref="Z14:Z15"/>
    <mergeCell ref="I14:I15"/>
    <mergeCell ref="J14:J15"/>
    <mergeCell ref="K14:K15"/>
    <mergeCell ref="L14:L15"/>
    <mergeCell ref="M14:M15"/>
    <mergeCell ref="N14:N15"/>
    <mergeCell ref="P14:Q15"/>
    <mergeCell ref="B14:B15"/>
    <mergeCell ref="C14:C15"/>
    <mergeCell ref="D14:D15"/>
    <mergeCell ref="E14:E15"/>
    <mergeCell ref="F14:F15"/>
    <mergeCell ref="G14:G15"/>
    <mergeCell ref="B17:C17"/>
    <mergeCell ref="J39:J42"/>
    <mergeCell ref="B43:Q43"/>
    <mergeCell ref="B45:C45"/>
    <mergeCell ref="J46:J48"/>
    <mergeCell ref="B49:Q49"/>
    <mergeCell ref="B51:U51"/>
    <mergeCell ref="B52:U52"/>
    <mergeCell ref="B53:U53"/>
    <mergeCell ref="H14:H15"/>
    <mergeCell ref="J18:J28"/>
    <mergeCell ref="B29:Q29"/>
    <mergeCell ref="B31:C31"/>
    <mergeCell ref="J32:J35"/>
    <mergeCell ref="B36:Q36"/>
    <mergeCell ref="B38:C38"/>
  </mergeCells>
  <conditionalFormatting sqref="C6:C7">
    <cfRule type="containsBlanks" dxfId="0" priority="1">
      <formula>LEN(TRIM(C6))=0</formula>
    </cfRule>
  </conditionalFormatting>
  <conditionalFormatting sqref="C9:C12">
    <cfRule type="containsBlanks" dxfId="0" priority="2">
      <formula>LEN(TRIM(C9))=0</formula>
    </cfRule>
  </conditionalFormatting>
  <conditionalFormatting sqref="P18:Q28">
    <cfRule type="containsBlanks" dxfId="0" priority="3">
      <formula>LEN(TRIM(P18))=0</formula>
    </cfRule>
  </conditionalFormatting>
  <conditionalFormatting sqref="P32:Q35 P39:Q42">
    <cfRule type="containsBlanks" dxfId="0" priority="4">
      <formula>LEN(TRIM(P32))=0</formula>
    </cfRule>
  </conditionalFormatting>
  <conditionalFormatting sqref="P46:Q48">
    <cfRule type="containsBlanks" dxfId="0" priority="5">
      <formula>LEN(TRIM(P46))=0</formula>
    </cfRule>
  </conditionalFormatting>
  <conditionalFormatting sqref="V12">
    <cfRule type="expression" dxfId="1" priority="6">
      <formula>ISNUMBER(SEARCH("ADDED VALUE",V12))=TRUE</formula>
    </cfRule>
  </conditionalFormatting>
  <conditionalFormatting sqref="V13:V21">
    <cfRule type="cellIs" dxfId="2" priority="7" operator="equal">
      <formula>#REF!</formula>
    </cfRule>
  </conditionalFormatting>
  <conditionalFormatting sqref="V13:V21">
    <cfRule type="expression" dxfId="2" priority="8">
      <formula>IF(#REF!=#REF!,"ADDED VALUE"=TRUE)</formula>
    </cfRule>
  </conditionalFormatting>
  <conditionalFormatting sqref="V23:V50">
    <cfRule type="cellIs" dxfId="2" priority="9" operator="equal">
      <formula>#REF!</formula>
    </cfRule>
  </conditionalFormatting>
  <conditionalFormatting sqref="V23:V50">
    <cfRule type="expression" dxfId="2" priority="10">
      <formula>IF(#REF!=#REF!,"ADDED VALUE"=TRUE)</formula>
    </cfRule>
  </conditionalFormatting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7" width="27.38"/>
  </cols>
  <sheetData>
    <row r="1" ht="19.5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5"/>
      <c r="Z1" s="5"/>
      <c r="AA1" s="6"/>
    </row>
    <row r="2" ht="19.5" customHeight="1">
      <c r="A2" s="1"/>
      <c r="B2" s="1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4"/>
      <c r="Y2" s="5"/>
      <c r="Z2" s="5"/>
      <c r="AA2" s="6"/>
    </row>
    <row r="3" ht="19.5" customHeight="1">
      <c r="A3" s="1"/>
      <c r="B3" s="1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4"/>
      <c r="Y3" s="5"/>
      <c r="Z3" s="5"/>
      <c r="AA3" s="6"/>
    </row>
    <row r="4" ht="19.5" customHeight="1">
      <c r="A4" s="1"/>
      <c r="B4" s="1"/>
      <c r="C4" s="2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4"/>
      <c r="Y4" s="5"/>
      <c r="Z4" s="5"/>
      <c r="AA4" s="6"/>
    </row>
    <row r="5" ht="19.5" customHeight="1">
      <c r="A5" s="1"/>
      <c r="B5" s="1"/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5"/>
      <c r="Z5" s="5"/>
      <c r="AA5" s="6"/>
    </row>
    <row r="6" ht="19.5" customHeight="1">
      <c r="A6" s="10"/>
      <c r="B6" s="12" t="s">
        <v>3</v>
      </c>
      <c r="C6" s="14" t="s">
        <v>4</v>
      </c>
      <c r="D6" s="16"/>
      <c r="E6" s="10"/>
      <c r="F6" s="1"/>
      <c r="G6" s="1"/>
      <c r="H6" s="10"/>
      <c r="I6" s="10"/>
      <c r="J6" s="10"/>
      <c r="K6" s="17"/>
      <c r="L6" s="17"/>
      <c r="M6" s="17"/>
      <c r="N6" s="17"/>
      <c r="O6" s="17"/>
      <c r="P6" s="10"/>
      <c r="Q6" s="10"/>
      <c r="R6" s="10"/>
      <c r="S6" s="10"/>
      <c r="T6" s="10"/>
      <c r="U6" s="10"/>
      <c r="V6" s="10"/>
      <c r="W6" s="1"/>
      <c r="X6" s="19"/>
      <c r="Y6" s="20"/>
      <c r="Z6" s="20"/>
      <c r="AA6" s="21"/>
    </row>
    <row r="7" ht="19.5" customHeight="1">
      <c r="A7" s="10"/>
      <c r="B7" s="12" t="s">
        <v>7</v>
      </c>
      <c r="C7" s="18" t="s">
        <v>8</v>
      </c>
      <c r="D7" s="23"/>
      <c r="E7" s="10"/>
      <c r="F7" s="1"/>
      <c r="G7" s="1"/>
      <c r="H7" s="10"/>
      <c r="I7" s="10"/>
      <c r="J7" s="10"/>
      <c r="K7" s="17"/>
      <c r="L7" s="17"/>
      <c r="M7" s="17"/>
      <c r="N7" s="17"/>
      <c r="O7" s="17"/>
      <c r="P7" s="10"/>
      <c r="Q7" s="10"/>
      <c r="R7" s="10"/>
      <c r="S7" s="10"/>
      <c r="T7" s="10"/>
      <c r="U7" s="10"/>
      <c r="V7" s="10"/>
      <c r="W7" s="1"/>
      <c r="X7" s="19"/>
      <c r="Y7" s="20"/>
      <c r="Z7" s="20"/>
      <c r="AA7" s="21"/>
    </row>
    <row r="8" ht="19.5" customHeight="1">
      <c r="A8" s="10"/>
      <c r="B8" s="12" t="s">
        <v>9</v>
      </c>
      <c r="C8" s="24" t="s">
        <v>13</v>
      </c>
      <c r="D8" s="27"/>
      <c r="E8" s="10"/>
      <c r="F8" s="1"/>
      <c r="G8" s="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9"/>
      <c r="Y8" s="20"/>
      <c r="Z8" s="20"/>
      <c r="AA8" s="21"/>
    </row>
    <row r="9" ht="19.5" customHeight="1">
      <c r="A9" s="28"/>
      <c r="B9" s="12" t="s">
        <v>15</v>
      </c>
      <c r="C9" s="14" t="s">
        <v>16</v>
      </c>
      <c r="D9" s="16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9"/>
      <c r="Y9" s="30"/>
      <c r="Z9" s="30"/>
      <c r="AA9" s="31"/>
    </row>
    <row r="10" ht="19.5" customHeight="1">
      <c r="A10" s="28"/>
      <c r="B10" s="12" t="s">
        <v>19</v>
      </c>
      <c r="C10" s="32" t="s">
        <v>20</v>
      </c>
      <c r="D10" s="1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9"/>
      <c r="Y10" s="34"/>
      <c r="Z10" s="30"/>
      <c r="AA10" s="35"/>
    </row>
    <row r="11" ht="19.5" customHeight="1">
      <c r="A11" s="28"/>
      <c r="B11" s="12" t="s">
        <v>21</v>
      </c>
      <c r="C11" s="14" t="str">
        <f>'[36]Approval Form'!C10</f>
        <v>#REF!</v>
      </c>
      <c r="D11" s="16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9"/>
      <c r="Y11" s="37"/>
      <c r="Z11" s="37"/>
      <c r="AA11" s="31"/>
    </row>
    <row r="12" ht="19.5" customHeight="1">
      <c r="A12" s="28"/>
      <c r="B12" s="38" t="s">
        <v>23</v>
      </c>
      <c r="C12" s="41">
        <f>TODAY()</f>
        <v>46258</v>
      </c>
      <c r="D12" s="42"/>
      <c r="E12" s="10"/>
      <c r="F12" s="10"/>
      <c r="G12" s="10"/>
      <c r="H12" s="10"/>
      <c r="I12" s="10"/>
      <c r="J12" s="19"/>
      <c r="K12" s="10"/>
      <c r="L12" s="10"/>
      <c r="M12" s="10"/>
      <c r="N12" s="10"/>
      <c r="O12" s="10"/>
      <c r="P12" s="10"/>
      <c r="Q12" s="10"/>
      <c r="R12" s="10"/>
      <c r="S12" s="44"/>
      <c r="T12" s="44"/>
      <c r="U12" s="44"/>
      <c r="V12" s="44"/>
      <c r="W12" s="10"/>
      <c r="X12" s="19"/>
      <c r="Y12" s="30"/>
      <c r="Z12" s="35"/>
      <c r="AA12" s="31"/>
    </row>
    <row r="13" ht="15.0" customHeight="1">
      <c r="A13" s="28"/>
      <c r="B13" s="10"/>
      <c r="C13" s="46"/>
      <c r="D13" s="46"/>
      <c r="E13" s="10"/>
      <c r="F13" s="10"/>
      <c r="G13" s="10"/>
      <c r="H13" s="10"/>
      <c r="I13" s="10"/>
      <c r="J13" s="1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9"/>
      <c r="Y13" s="30"/>
      <c r="Z13" s="30"/>
      <c r="AA13" s="31"/>
    </row>
    <row r="14" ht="15.0" customHeight="1">
      <c r="A14" s="1"/>
      <c r="B14" s="49" t="s">
        <v>25</v>
      </c>
      <c r="C14" s="49" t="s">
        <v>27</v>
      </c>
      <c r="D14" s="49" t="s">
        <v>34</v>
      </c>
      <c r="E14" s="49" t="s">
        <v>29</v>
      </c>
      <c r="F14" s="49" t="s">
        <v>31</v>
      </c>
      <c r="G14" s="49" t="s">
        <v>33</v>
      </c>
      <c r="H14" s="49" t="s">
        <v>34</v>
      </c>
      <c r="I14" s="49" t="s">
        <v>36</v>
      </c>
      <c r="J14" s="49" t="s">
        <v>37</v>
      </c>
      <c r="K14" s="49" t="s">
        <v>38</v>
      </c>
      <c r="L14" s="49" t="s">
        <v>39</v>
      </c>
      <c r="M14" s="49" t="s">
        <v>40</v>
      </c>
      <c r="N14" s="49" t="s">
        <v>41</v>
      </c>
      <c r="O14" s="49" t="s">
        <v>42</v>
      </c>
      <c r="P14" s="57" t="s">
        <v>43</v>
      </c>
      <c r="Q14" s="58" t="s">
        <v>44</v>
      </c>
      <c r="R14" s="48"/>
      <c r="S14" s="59" t="s">
        <v>45</v>
      </c>
      <c r="T14" s="59" t="s">
        <v>46</v>
      </c>
      <c r="U14" s="59" t="s">
        <v>48</v>
      </c>
      <c r="V14" s="59" t="s">
        <v>49</v>
      </c>
      <c r="W14" s="10"/>
      <c r="X14" s="59" t="s">
        <v>51</v>
      </c>
      <c r="Y14" s="63" t="s">
        <v>52</v>
      </c>
      <c r="Z14" s="63" t="s">
        <v>54</v>
      </c>
      <c r="AA14" s="63" t="s">
        <v>55</v>
      </c>
    </row>
    <row r="15" ht="15.0" customHeight="1">
      <c r="A15" s="1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7" t="s">
        <v>56</v>
      </c>
      <c r="Q15" s="51"/>
      <c r="R15" s="52"/>
      <c r="S15" s="56"/>
      <c r="T15" s="56"/>
      <c r="U15" s="56"/>
      <c r="V15" s="56"/>
      <c r="W15" s="10"/>
      <c r="X15" s="56"/>
      <c r="Y15" s="56"/>
      <c r="Z15" s="56"/>
      <c r="AA15" s="56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0" customHeight="1">
      <c r="A17" s="1"/>
      <c r="B17" s="67" t="s">
        <v>53</v>
      </c>
      <c r="C17" s="68"/>
      <c r="D17" s="73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9"/>
      <c r="Y17" s="5"/>
      <c r="Z17" s="5"/>
      <c r="AA17" s="6"/>
    </row>
    <row r="18" ht="24.0" customHeight="1">
      <c r="A18" s="1"/>
      <c r="B18" s="72" t="s">
        <v>66</v>
      </c>
      <c r="C18" s="72" t="s">
        <v>67</v>
      </c>
      <c r="D18" s="72" t="s">
        <v>68</v>
      </c>
      <c r="E18" s="72" t="s">
        <v>53</v>
      </c>
      <c r="F18" s="72" t="s">
        <v>60</v>
      </c>
      <c r="G18" s="72" t="s">
        <v>69</v>
      </c>
      <c r="H18" s="72" t="s">
        <v>62</v>
      </c>
      <c r="I18" s="72" t="s">
        <v>63</v>
      </c>
      <c r="J18" s="72" t="s">
        <v>64</v>
      </c>
      <c r="K18" s="81"/>
      <c r="L18" s="75">
        <v>1.2E7</v>
      </c>
      <c r="M18" s="79">
        <f t="shared" ref="M18:M19" si="1">N18/L18</f>
        <v>2.083333333</v>
      </c>
      <c r="N18" s="80">
        <f t="shared" ref="N18:N19" si="2">X18/O18</f>
        <v>25000000</v>
      </c>
      <c r="O18" s="80">
        <v>2.0</v>
      </c>
      <c r="P18" s="72" t="s">
        <v>70</v>
      </c>
      <c r="Q18" s="82" t="s">
        <v>74</v>
      </c>
      <c r="R18" s="82" t="s">
        <v>75</v>
      </c>
      <c r="S18" s="83">
        <f t="shared" ref="S18:S19" si="3">X18</f>
        <v>50000000</v>
      </c>
      <c r="T18" s="84">
        <v>0.02</v>
      </c>
      <c r="U18" s="83">
        <f t="shared" ref="U18:U19" si="4">S18*T18</f>
        <v>1000000</v>
      </c>
      <c r="V18" s="86">
        <f>X18*0.1%</f>
        <v>50000</v>
      </c>
      <c r="W18" s="10"/>
      <c r="X18" s="83">
        <f t="shared" ref="X18:X19" si="5">(Z18*1000)/Y18</f>
        <v>50000000</v>
      </c>
      <c r="Y18" s="88">
        <v>0.7</v>
      </c>
      <c r="Z18" s="89">
        <v>35000.0</v>
      </c>
      <c r="AA18" s="90">
        <f t="shared" ref="AA18:AA21" si="6">Z18*3.76</f>
        <v>131600</v>
      </c>
    </row>
    <row r="19" ht="24.0" customHeight="1">
      <c r="A19" s="1"/>
      <c r="B19" s="72" t="s">
        <v>76</v>
      </c>
      <c r="C19" s="72" t="s">
        <v>77</v>
      </c>
      <c r="D19" s="72" t="s">
        <v>79</v>
      </c>
      <c r="E19" s="72" t="s">
        <v>53</v>
      </c>
      <c r="F19" s="72" t="s">
        <v>60</v>
      </c>
      <c r="G19" s="72" t="s">
        <v>61</v>
      </c>
      <c r="H19" s="72" t="s">
        <v>62</v>
      </c>
      <c r="I19" s="72" t="s">
        <v>63</v>
      </c>
      <c r="J19" s="72" t="s">
        <v>64</v>
      </c>
      <c r="K19" s="76"/>
      <c r="L19" s="75">
        <v>1.9E7</v>
      </c>
      <c r="M19" s="79">
        <f t="shared" si="1"/>
        <v>0.1315789474</v>
      </c>
      <c r="N19" s="80">
        <f t="shared" si="2"/>
        <v>2500000</v>
      </c>
      <c r="O19" s="80">
        <v>2.0</v>
      </c>
      <c r="P19" s="72" t="s">
        <v>70</v>
      </c>
      <c r="Q19" s="82" t="s">
        <v>74</v>
      </c>
      <c r="R19" s="82" t="s">
        <v>75</v>
      </c>
      <c r="S19" s="83">
        <f t="shared" si="3"/>
        <v>5000000</v>
      </c>
      <c r="T19" s="84">
        <v>0.2</v>
      </c>
      <c r="U19" s="83">
        <f t="shared" si="4"/>
        <v>1000000</v>
      </c>
      <c r="V19" s="86" t="s">
        <v>20</v>
      </c>
      <c r="W19" s="10"/>
      <c r="X19" s="83">
        <f t="shared" si="5"/>
        <v>5000000</v>
      </c>
      <c r="Y19" s="88">
        <v>4.0</v>
      </c>
      <c r="Z19" s="93">
        <v>20000.0</v>
      </c>
      <c r="AA19" s="90">
        <f t="shared" si="6"/>
        <v>75200</v>
      </c>
    </row>
    <row r="20" ht="69.0" customHeight="1">
      <c r="A20" s="1"/>
      <c r="B20" s="72" t="s">
        <v>82</v>
      </c>
      <c r="C20" s="72" t="s">
        <v>83</v>
      </c>
      <c r="D20" s="72" t="s">
        <v>79</v>
      </c>
      <c r="E20" s="72" t="s">
        <v>53</v>
      </c>
      <c r="F20" s="72" t="s">
        <v>84</v>
      </c>
      <c r="G20" s="72" t="s">
        <v>69</v>
      </c>
      <c r="H20" s="72" t="s">
        <v>62</v>
      </c>
      <c r="I20" s="72" t="s">
        <v>85</v>
      </c>
      <c r="J20" s="72" t="s">
        <v>86</v>
      </c>
      <c r="K20" s="76"/>
      <c r="L20" s="75" t="s">
        <v>20</v>
      </c>
      <c r="M20" s="75" t="s">
        <v>20</v>
      </c>
      <c r="N20" s="75" t="s">
        <v>20</v>
      </c>
      <c r="O20" s="75" t="s">
        <v>20</v>
      </c>
      <c r="P20" s="72" t="s">
        <v>87</v>
      </c>
      <c r="Q20" s="82" t="s">
        <v>74</v>
      </c>
      <c r="R20" s="82" t="s">
        <v>75</v>
      </c>
      <c r="S20" s="83">
        <v>160000.0</v>
      </c>
      <c r="T20" s="84" t="s">
        <v>20</v>
      </c>
      <c r="U20" s="86" t="s">
        <v>20</v>
      </c>
      <c r="V20" s="86" t="s">
        <v>20</v>
      </c>
      <c r="W20" s="10"/>
      <c r="X20" s="83" t="s">
        <v>20</v>
      </c>
      <c r="Y20" s="88" t="s">
        <v>85</v>
      </c>
      <c r="Z20" s="89">
        <v>20000.0</v>
      </c>
      <c r="AA20" s="90">
        <f t="shared" si="6"/>
        <v>75200</v>
      </c>
    </row>
    <row r="21" ht="42.0" customHeight="1">
      <c r="A21" s="1"/>
      <c r="B21" s="72" t="s">
        <v>88</v>
      </c>
      <c r="C21" s="72" t="s">
        <v>89</v>
      </c>
      <c r="D21" s="72" t="s">
        <v>68</v>
      </c>
      <c r="E21" s="72" t="s">
        <v>53</v>
      </c>
      <c r="F21" s="72" t="s">
        <v>90</v>
      </c>
      <c r="G21" s="72" t="s">
        <v>61</v>
      </c>
      <c r="H21" s="72" t="s">
        <v>62</v>
      </c>
      <c r="I21" s="72" t="s">
        <v>63</v>
      </c>
      <c r="J21" s="72" t="s">
        <v>64</v>
      </c>
      <c r="K21" s="76"/>
      <c r="L21" s="75" t="s">
        <v>20</v>
      </c>
      <c r="M21" s="75" t="s">
        <v>20</v>
      </c>
      <c r="N21" s="75" t="s">
        <v>20</v>
      </c>
      <c r="O21" s="75" t="s">
        <v>20</v>
      </c>
      <c r="P21" s="72" t="s">
        <v>90</v>
      </c>
      <c r="Q21" s="82" t="s">
        <v>74</v>
      </c>
      <c r="R21" s="82" t="s">
        <v>75</v>
      </c>
      <c r="S21" s="83">
        <f>X21</f>
        <v>1250000</v>
      </c>
      <c r="T21" s="84" t="s">
        <v>20</v>
      </c>
      <c r="U21" s="84" t="s">
        <v>20</v>
      </c>
      <c r="V21" s="84" t="s">
        <v>20</v>
      </c>
      <c r="W21" s="10"/>
      <c r="X21" s="83">
        <f>(Z21*1000)/Y21</f>
        <v>1250000</v>
      </c>
      <c r="Y21" s="88">
        <v>8.0</v>
      </c>
      <c r="Z21" s="93">
        <v>10000.0</v>
      </c>
      <c r="AA21" s="90">
        <f t="shared" si="6"/>
        <v>37600</v>
      </c>
    </row>
    <row r="22" ht="15.0" customHeight="1">
      <c r="A22" s="1"/>
      <c r="B22" s="96" t="s">
        <v>94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68"/>
      <c r="S22" s="98"/>
      <c r="T22" s="98"/>
      <c r="U22" s="99">
        <f t="shared" ref="U22:V22" si="7">SUM(U18:U21)</f>
        <v>2000000</v>
      </c>
      <c r="V22" s="99">
        <f t="shared" si="7"/>
        <v>50000</v>
      </c>
      <c r="W22" s="1"/>
      <c r="X22" s="99">
        <f>SUM(X18:X21)</f>
        <v>56250000</v>
      </c>
      <c r="Y22" s="99"/>
      <c r="Z22" s="100">
        <f t="shared" ref="Z22:AA22" si="8">SUM(Z18:Z21)</f>
        <v>85000</v>
      </c>
      <c r="AA22" s="101">
        <f t="shared" si="8"/>
        <v>319600</v>
      </c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"/>
      <c r="B24" s="67" t="s">
        <v>99</v>
      </c>
      <c r="C24" s="68"/>
      <c r="D24" s="7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30.75" customHeight="1">
      <c r="A25" s="1"/>
      <c r="B25" s="72" t="s">
        <v>101</v>
      </c>
      <c r="C25" s="72" t="s">
        <v>83</v>
      </c>
      <c r="D25" s="72" t="s">
        <v>79</v>
      </c>
      <c r="E25" s="72" t="s">
        <v>104</v>
      </c>
      <c r="F25" s="72" t="s">
        <v>106</v>
      </c>
      <c r="G25" s="72" t="s">
        <v>61</v>
      </c>
      <c r="H25" s="72" t="s">
        <v>62</v>
      </c>
      <c r="I25" s="72" t="s">
        <v>63</v>
      </c>
      <c r="J25" s="72" t="s">
        <v>86</v>
      </c>
      <c r="K25" s="81"/>
      <c r="L25" s="75" t="s">
        <v>20</v>
      </c>
      <c r="M25" s="75" t="s">
        <v>20</v>
      </c>
      <c r="N25" s="75" t="s">
        <v>20</v>
      </c>
      <c r="O25" s="75" t="s">
        <v>20</v>
      </c>
      <c r="P25" s="72" t="s">
        <v>87</v>
      </c>
      <c r="Q25" s="82" t="s">
        <v>74</v>
      </c>
      <c r="R25" s="82" t="s">
        <v>75</v>
      </c>
      <c r="S25" s="83">
        <f t="shared" ref="S25:S28" si="9">X25</f>
        <v>2184873.95</v>
      </c>
      <c r="T25" s="84" t="s">
        <v>20</v>
      </c>
      <c r="U25" s="84" t="s">
        <v>20</v>
      </c>
      <c r="V25" s="84" t="s">
        <v>20</v>
      </c>
      <c r="W25" s="10"/>
      <c r="X25" s="83">
        <f t="shared" ref="X25:X28" si="10">(Z25*1000)/Y25</f>
        <v>2184873.95</v>
      </c>
      <c r="Y25" s="88">
        <v>5.95</v>
      </c>
      <c r="Z25" s="89">
        <v>13000.0</v>
      </c>
      <c r="AA25" s="90">
        <f t="shared" ref="AA25:AA28" si="11">Z25*3.76</f>
        <v>48880</v>
      </c>
    </row>
    <row r="26" ht="30.0" customHeight="1">
      <c r="A26" s="1"/>
      <c r="B26" s="72" t="s">
        <v>111</v>
      </c>
      <c r="C26" s="72" t="s">
        <v>112</v>
      </c>
      <c r="D26" s="72" t="s">
        <v>68</v>
      </c>
      <c r="E26" s="72" t="s">
        <v>104</v>
      </c>
      <c r="F26" s="72" t="s">
        <v>113</v>
      </c>
      <c r="G26" s="72" t="s">
        <v>61</v>
      </c>
      <c r="H26" s="72" t="s">
        <v>62</v>
      </c>
      <c r="I26" s="72" t="s">
        <v>63</v>
      </c>
      <c r="J26" s="72" t="s">
        <v>64</v>
      </c>
      <c r="K26" s="76"/>
      <c r="L26" s="75" t="s">
        <v>20</v>
      </c>
      <c r="M26" s="75" t="s">
        <v>20</v>
      </c>
      <c r="N26" s="75" t="s">
        <v>20</v>
      </c>
      <c r="O26" s="75" t="s">
        <v>20</v>
      </c>
      <c r="P26" s="72" t="s">
        <v>114</v>
      </c>
      <c r="Q26" s="82" t="s">
        <v>74</v>
      </c>
      <c r="R26" s="82" t="s">
        <v>75</v>
      </c>
      <c r="S26" s="83">
        <f t="shared" si="9"/>
        <v>1111111.111</v>
      </c>
      <c r="T26" s="84" t="s">
        <v>20</v>
      </c>
      <c r="U26" s="84" t="s">
        <v>20</v>
      </c>
      <c r="V26" s="84" t="s">
        <v>20</v>
      </c>
      <c r="W26" s="10"/>
      <c r="X26" s="83">
        <f t="shared" si="10"/>
        <v>1111111.111</v>
      </c>
      <c r="Y26" s="88">
        <v>9.0</v>
      </c>
      <c r="Z26" s="89">
        <v>10000.0</v>
      </c>
      <c r="AA26" s="90">
        <f t="shared" si="11"/>
        <v>37600</v>
      </c>
    </row>
    <row r="27" ht="30.0" customHeight="1">
      <c r="A27" s="1"/>
      <c r="B27" s="72" t="s">
        <v>116</v>
      </c>
      <c r="C27" s="72" t="s">
        <v>117</v>
      </c>
      <c r="D27" s="72" t="s">
        <v>68</v>
      </c>
      <c r="E27" s="72" t="s">
        <v>104</v>
      </c>
      <c r="F27" s="72" t="s">
        <v>119</v>
      </c>
      <c r="G27" s="72" t="s">
        <v>61</v>
      </c>
      <c r="H27" s="72" t="s">
        <v>62</v>
      </c>
      <c r="I27" s="72" t="s">
        <v>63</v>
      </c>
      <c r="J27" s="72" t="s">
        <v>64</v>
      </c>
      <c r="K27" s="76"/>
      <c r="L27" s="75" t="s">
        <v>20</v>
      </c>
      <c r="M27" s="75" t="s">
        <v>20</v>
      </c>
      <c r="N27" s="75" t="s">
        <v>20</v>
      </c>
      <c r="O27" s="75" t="s">
        <v>20</v>
      </c>
      <c r="P27" s="72" t="s">
        <v>121</v>
      </c>
      <c r="Q27" s="82" t="s">
        <v>74</v>
      </c>
      <c r="R27" s="82" t="s">
        <v>75</v>
      </c>
      <c r="S27" s="83">
        <f t="shared" si="9"/>
        <v>4615384.615</v>
      </c>
      <c r="T27" s="84" t="s">
        <v>20</v>
      </c>
      <c r="U27" s="84" t="s">
        <v>20</v>
      </c>
      <c r="V27" s="84" t="s">
        <v>20</v>
      </c>
      <c r="W27" s="10"/>
      <c r="X27" s="83">
        <f t="shared" si="10"/>
        <v>4615384.615</v>
      </c>
      <c r="Y27" s="88">
        <v>1.95</v>
      </c>
      <c r="Z27" s="89">
        <v>9000.0</v>
      </c>
      <c r="AA27" s="90">
        <f t="shared" si="11"/>
        <v>33840</v>
      </c>
    </row>
    <row r="28" ht="30.75" customHeight="1">
      <c r="A28" s="1"/>
      <c r="B28" s="72" t="s">
        <v>88</v>
      </c>
      <c r="C28" s="72" t="s">
        <v>89</v>
      </c>
      <c r="D28" s="72" t="s">
        <v>68</v>
      </c>
      <c r="E28" s="72" t="s">
        <v>104</v>
      </c>
      <c r="F28" s="72" t="s">
        <v>90</v>
      </c>
      <c r="G28" s="72" t="s">
        <v>61</v>
      </c>
      <c r="H28" s="72" t="s">
        <v>62</v>
      </c>
      <c r="I28" s="72" t="s">
        <v>63</v>
      </c>
      <c r="J28" s="72" t="s">
        <v>64</v>
      </c>
      <c r="K28" s="76"/>
      <c r="L28" s="75" t="s">
        <v>20</v>
      </c>
      <c r="M28" s="75" t="s">
        <v>20</v>
      </c>
      <c r="N28" s="75" t="s">
        <v>20</v>
      </c>
      <c r="O28" s="75" t="s">
        <v>20</v>
      </c>
      <c r="P28" s="72" t="s">
        <v>90</v>
      </c>
      <c r="Q28" s="82" t="s">
        <v>74</v>
      </c>
      <c r="R28" s="82" t="s">
        <v>75</v>
      </c>
      <c r="S28" s="83">
        <f t="shared" si="9"/>
        <v>875000</v>
      </c>
      <c r="T28" s="84" t="s">
        <v>20</v>
      </c>
      <c r="U28" s="84" t="s">
        <v>20</v>
      </c>
      <c r="V28" s="84" t="s">
        <v>20</v>
      </c>
      <c r="W28" s="10"/>
      <c r="X28" s="83">
        <f t="shared" si="10"/>
        <v>875000</v>
      </c>
      <c r="Y28" s="88">
        <v>8.0</v>
      </c>
      <c r="Z28" s="89">
        <v>7000.0</v>
      </c>
      <c r="AA28" s="90">
        <f t="shared" si="11"/>
        <v>26320</v>
      </c>
    </row>
    <row r="29" ht="15.0" customHeight="1">
      <c r="A29" s="1"/>
      <c r="B29" s="96" t="s">
        <v>128</v>
      </c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68"/>
      <c r="S29" s="98"/>
      <c r="T29" s="98"/>
      <c r="U29" s="99">
        <f t="shared" ref="U29:V29" si="12">SUM(U25:U28)</f>
        <v>0</v>
      </c>
      <c r="V29" s="99">
        <f t="shared" si="12"/>
        <v>0</v>
      </c>
      <c r="W29" s="1"/>
      <c r="X29" s="99">
        <f>SUM(X25:X28)</f>
        <v>8786369.676</v>
      </c>
      <c r="Y29" s="99"/>
      <c r="Z29" s="100">
        <f t="shared" ref="Z29:AA29" si="13">SUM(Z25:Z28)</f>
        <v>39000</v>
      </c>
      <c r="AA29" s="101">
        <f t="shared" si="13"/>
        <v>146640</v>
      </c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"/>
      <c r="B31" s="67" t="s">
        <v>131</v>
      </c>
      <c r="C31" s="68"/>
      <c r="D31" s="7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5.5" customHeight="1">
      <c r="A32" s="1"/>
      <c r="B32" s="72" t="s">
        <v>88</v>
      </c>
      <c r="C32" s="72" t="s">
        <v>89</v>
      </c>
      <c r="D32" s="72" t="s">
        <v>68</v>
      </c>
      <c r="E32" s="72" t="s">
        <v>131</v>
      </c>
      <c r="F32" s="72" t="s">
        <v>90</v>
      </c>
      <c r="G32" s="72" t="s">
        <v>61</v>
      </c>
      <c r="H32" s="72" t="s">
        <v>62</v>
      </c>
      <c r="I32" s="72" t="s">
        <v>63</v>
      </c>
      <c r="J32" s="72" t="s">
        <v>64</v>
      </c>
      <c r="K32" s="81"/>
      <c r="L32" s="75" t="s">
        <v>20</v>
      </c>
      <c r="M32" s="75" t="s">
        <v>20</v>
      </c>
      <c r="N32" s="75" t="s">
        <v>20</v>
      </c>
      <c r="O32" s="75" t="s">
        <v>20</v>
      </c>
      <c r="P32" s="72" t="s">
        <v>90</v>
      </c>
      <c r="Q32" s="82" t="s">
        <v>74</v>
      </c>
      <c r="R32" s="82" t="s">
        <v>75</v>
      </c>
      <c r="S32" s="83">
        <f>X32</f>
        <v>500000</v>
      </c>
      <c r="T32" s="84" t="s">
        <v>20</v>
      </c>
      <c r="U32" s="84" t="s">
        <v>20</v>
      </c>
      <c r="V32" s="84" t="s">
        <v>20</v>
      </c>
      <c r="W32" s="10"/>
      <c r="X32" s="83">
        <f>(Z32*1000)/Y32</f>
        <v>500000</v>
      </c>
      <c r="Y32" s="88">
        <v>8.0</v>
      </c>
      <c r="Z32" s="89">
        <v>4000.0</v>
      </c>
      <c r="AA32" s="90">
        <f>Z32*3.76</f>
        <v>15040</v>
      </c>
    </row>
    <row r="33" ht="15.0" customHeight="1">
      <c r="A33" s="1"/>
      <c r="B33" s="96" t="s">
        <v>134</v>
      </c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68"/>
      <c r="S33" s="98"/>
      <c r="T33" s="98"/>
      <c r="U33" s="99">
        <f t="shared" ref="U33:V33" si="14">SUM(U32)</f>
        <v>0</v>
      </c>
      <c r="V33" s="99">
        <f t="shared" si="14"/>
        <v>0</v>
      </c>
      <c r="W33" s="1"/>
      <c r="X33" s="99" t="str">
        <f>SUM(#REF!)</f>
        <v>#REF!</v>
      </c>
      <c r="Y33" s="99"/>
      <c r="Z33" s="100">
        <f t="shared" ref="Z33:AA33" si="15">SUM(Z32)</f>
        <v>4000</v>
      </c>
      <c r="AA33" s="101">
        <f t="shared" si="15"/>
        <v>15040</v>
      </c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"/>
      <c r="B36" s="67" t="s">
        <v>137</v>
      </c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68"/>
      <c r="W36" s="10"/>
      <c r="X36" s="112">
        <f>SUM(X22,X29)</f>
        <v>65036369.68</v>
      </c>
      <c r="Y36" s="113"/>
      <c r="Z36" s="116">
        <f t="shared" ref="Z36:AA36" si="16">SUM(Z22,Z29,Z33)</f>
        <v>128000</v>
      </c>
      <c r="AA36" s="118">
        <f t="shared" si="16"/>
        <v>481280</v>
      </c>
    </row>
    <row r="37" ht="15.0" customHeight="1">
      <c r="A37" s="1"/>
      <c r="B37" s="67" t="s">
        <v>139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68"/>
      <c r="W37" s="10"/>
      <c r="X37" s="113"/>
      <c r="Y37" s="113"/>
      <c r="Z37" s="116">
        <v>1500.0</v>
      </c>
      <c r="AA37" s="118">
        <f>Z37*3.76</f>
        <v>5640</v>
      </c>
    </row>
    <row r="38" ht="15.0" customHeight="1">
      <c r="A38" s="1"/>
      <c r="B38" s="121" t="s">
        <v>141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68"/>
      <c r="W38" s="1"/>
      <c r="X38" s="122"/>
      <c r="Y38" s="122"/>
      <c r="Z38" s="123">
        <f t="shared" ref="Z38:AA38" si="17">SUM(Z36:Z37)</f>
        <v>129500</v>
      </c>
      <c r="AA38" s="124">
        <f t="shared" si="17"/>
        <v>486920</v>
      </c>
    </row>
    <row r="39" ht="15.0" customHeight="1">
      <c r="A39" s="6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4"/>
      <c r="Y39" s="5"/>
      <c r="Z39" s="5"/>
      <c r="AA39" s="6"/>
    </row>
    <row r="40" ht="15.0" customHeight="1">
      <c r="A40" s="6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4"/>
      <c r="Y40" s="5"/>
      <c r="Z40" s="125"/>
      <c r="AA40" s="6"/>
    </row>
    <row r="41" ht="52.5" customHeight="1">
      <c r="A41" s="6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4"/>
      <c r="Y41" s="5"/>
      <c r="Z41" s="5"/>
      <c r="AA41" s="6"/>
    </row>
    <row r="42" ht="19.5" customHeight="1">
      <c r="A42" s="6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4"/>
      <c r="Y42" s="5"/>
      <c r="Z42" s="5"/>
      <c r="AA42" s="6"/>
    </row>
    <row r="43" ht="19.5" customHeight="1">
      <c r="A43" s="6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4"/>
      <c r="Y43" s="5"/>
      <c r="Z43" s="5"/>
      <c r="AA43" s="6"/>
    </row>
    <row r="44" ht="19.5" customHeight="1">
      <c r="A44" s="6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4"/>
      <c r="Y44" s="5"/>
      <c r="Z44" s="5"/>
      <c r="AA44" s="6"/>
    </row>
    <row r="45" ht="19.5" customHeight="1">
      <c r="A45" s="6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4"/>
      <c r="Y45" s="5"/>
      <c r="Z45" s="5"/>
      <c r="AA45" s="6"/>
    </row>
    <row r="46" ht="19.5" customHeight="1">
      <c r="A46" s="6"/>
      <c r="B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4"/>
      <c r="Y46" s="5"/>
      <c r="Z46" s="5"/>
      <c r="AA46" s="6"/>
    </row>
    <row r="47" ht="19.5" customHeight="1">
      <c r="A47" s="6"/>
      <c r="B47" s="1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4"/>
      <c r="Y47" s="5"/>
      <c r="Z47" s="5"/>
      <c r="AA47" s="6"/>
    </row>
    <row r="48" ht="19.5" customHeight="1">
      <c r="A48" s="6"/>
      <c r="B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4"/>
      <c r="Y48" s="5"/>
      <c r="Z48" s="5"/>
      <c r="AA48" s="6"/>
    </row>
    <row r="49" ht="19.5" customHeight="1">
      <c r="A49" s="6"/>
      <c r="B49" s="1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4"/>
      <c r="Y49" s="5"/>
      <c r="Z49" s="5"/>
      <c r="AA49" s="6"/>
    </row>
    <row r="50" ht="19.5" customHeight="1">
      <c r="A50" s="6"/>
      <c r="B50" s="1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4"/>
      <c r="Y50" s="5"/>
      <c r="Z50" s="5"/>
      <c r="AA50" s="6"/>
    </row>
    <row r="51" ht="19.5" customHeight="1">
      <c r="A51" s="6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4"/>
      <c r="Y51" s="5"/>
      <c r="Z51" s="5"/>
      <c r="AA51" s="6"/>
    </row>
    <row r="52" ht="19.5" customHeight="1">
      <c r="A52" s="6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4"/>
      <c r="Y52" s="5"/>
      <c r="Z52" s="5"/>
      <c r="AA52" s="6"/>
    </row>
    <row r="53" ht="19.5" customHeight="1">
      <c r="A53" s="6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4"/>
      <c r="Y53" s="5"/>
      <c r="Z53" s="5"/>
      <c r="AA53" s="6"/>
    </row>
    <row r="54" ht="19.5" customHeight="1">
      <c r="A54" s="6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4"/>
      <c r="Y54" s="5"/>
      <c r="Z54" s="5"/>
      <c r="AA54" s="6"/>
    </row>
    <row r="55" ht="51.75" customHeight="1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4"/>
      <c r="Y55" s="5"/>
      <c r="Z55" s="5"/>
      <c r="AA55" s="6"/>
    </row>
    <row r="56" ht="51.75" customHeight="1">
      <c r="A56" s="1"/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4"/>
      <c r="Y56" s="5"/>
      <c r="Z56" s="5"/>
      <c r="AA56" s="6"/>
    </row>
    <row r="57" ht="51.75" customHeight="1">
      <c r="A57" s="1"/>
      <c r="B57" s="1"/>
      <c r="C57" s="2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4"/>
      <c r="Y57" s="5"/>
      <c r="Z57" s="5"/>
      <c r="AA57" s="6"/>
    </row>
    <row r="58" ht="51.75" customHeight="1">
      <c r="A58" s="1"/>
      <c r="B58" s="1"/>
      <c r="C58" s="2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4"/>
      <c r="Y58" s="5"/>
      <c r="Z58" s="5"/>
      <c r="AA58" s="6"/>
    </row>
    <row r="59" ht="51.75" customHeight="1">
      <c r="A59" s="1"/>
      <c r="B59" s="1"/>
      <c r="C59" s="2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4"/>
      <c r="Y59" s="5"/>
      <c r="Z59" s="5"/>
      <c r="AA59" s="6"/>
    </row>
    <row r="60" ht="51.75" customHeight="1">
      <c r="A60" s="1"/>
      <c r="B60" s="1"/>
      <c r="C60" s="2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4"/>
      <c r="Y60" s="5"/>
      <c r="Z60" s="5"/>
      <c r="AA60" s="6"/>
    </row>
    <row r="61" ht="51.75" customHeight="1">
      <c r="A61" s="1"/>
      <c r="B61" s="1"/>
      <c r="C61" s="2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4"/>
      <c r="Y61" s="5"/>
      <c r="Z61" s="5"/>
      <c r="AA61" s="6"/>
    </row>
    <row r="62" ht="51.75" customHeight="1">
      <c r="A62" s="1"/>
      <c r="B62" s="1"/>
      <c r="C62" s="2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4"/>
      <c r="Y62" s="5"/>
      <c r="Z62" s="5"/>
      <c r="AA62" s="6"/>
    </row>
    <row r="63" ht="51.75" customHeight="1">
      <c r="A63" s="1"/>
      <c r="B63" s="1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4"/>
      <c r="Y63" s="5"/>
      <c r="Z63" s="5"/>
      <c r="AA63" s="6"/>
    </row>
    <row r="64" ht="51.75" customHeight="1">
      <c r="A64" s="1"/>
      <c r="B64" s="1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4"/>
      <c r="Y64" s="5"/>
      <c r="Z64" s="5"/>
      <c r="AA64" s="6"/>
    </row>
    <row r="65" ht="51.75" customHeight="1">
      <c r="A65" s="1"/>
      <c r="B65" s="1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4"/>
      <c r="Y65" s="5"/>
      <c r="Z65" s="5"/>
      <c r="AA65" s="6"/>
    </row>
    <row r="66" ht="51.75" customHeight="1">
      <c r="A66" s="1"/>
      <c r="B66" s="1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4"/>
      <c r="Y66" s="5"/>
      <c r="Z66" s="5"/>
      <c r="AA66" s="6"/>
    </row>
    <row r="67" ht="51.75" customHeight="1">
      <c r="A67" s="1"/>
      <c r="B67" s="1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4"/>
      <c r="Y67" s="5"/>
      <c r="Z67" s="5"/>
      <c r="AA67" s="6"/>
    </row>
    <row r="68" ht="51.75" customHeight="1">
      <c r="A68" s="1"/>
      <c r="B68" s="1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4"/>
      <c r="Y68" s="5"/>
      <c r="Z68" s="5"/>
      <c r="AA68" s="6"/>
    </row>
    <row r="69" ht="51.75" customHeight="1">
      <c r="A69" s="1"/>
      <c r="B69" s="1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4"/>
      <c r="Y69" s="5"/>
      <c r="Z69" s="5"/>
      <c r="AA69" s="6"/>
    </row>
    <row r="70" ht="51.75" customHeight="1">
      <c r="A70" s="1"/>
      <c r="B70" s="1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4"/>
      <c r="Y70" s="5"/>
      <c r="Z70" s="5"/>
      <c r="AA70" s="6"/>
    </row>
    <row r="71" ht="51.75" customHeight="1">
      <c r="A71" s="1"/>
      <c r="B71" s="1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4"/>
      <c r="Y71" s="5"/>
      <c r="Z71" s="5"/>
      <c r="AA71" s="6"/>
    </row>
    <row r="72" ht="51.75" customHeight="1">
      <c r="A72" s="1"/>
      <c r="B72" s="1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4"/>
      <c r="Y72" s="5"/>
      <c r="Z72" s="5"/>
      <c r="AA72" s="6"/>
    </row>
    <row r="73" ht="51.75" customHeight="1">
      <c r="A73" s="1"/>
      <c r="B73" s="1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4"/>
      <c r="Y73" s="5"/>
      <c r="Z73" s="5"/>
      <c r="AA73" s="6"/>
    </row>
    <row r="74" ht="51.75" customHeight="1">
      <c r="A74" s="1"/>
      <c r="B74" s="1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4"/>
      <c r="Y74" s="5"/>
      <c r="Z74" s="5"/>
      <c r="AA74" s="6"/>
    </row>
    <row r="75" ht="51.75" customHeight="1">
      <c r="A75" s="1"/>
      <c r="B75" s="1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4"/>
      <c r="Y75" s="5"/>
      <c r="Z75" s="5"/>
      <c r="AA75" s="6"/>
    </row>
    <row r="76" ht="51.75" customHeight="1">
      <c r="A76" s="1"/>
      <c r="B76" s="1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4"/>
      <c r="Y76" s="5"/>
      <c r="Z76" s="5"/>
      <c r="AA76" s="6"/>
    </row>
    <row r="77" ht="51.75" customHeight="1">
      <c r="A77" s="1"/>
      <c r="B77" s="1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4"/>
      <c r="Y77" s="5"/>
      <c r="Z77" s="5"/>
      <c r="AA77" s="6"/>
    </row>
    <row r="78" ht="51.75" customHeight="1">
      <c r="A78" s="1"/>
      <c r="B78" s="1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4"/>
      <c r="Y78" s="5"/>
      <c r="Z78" s="5"/>
      <c r="AA78" s="6"/>
    </row>
    <row r="79" ht="51.75" customHeight="1">
      <c r="A79" s="1"/>
      <c r="B79" s="1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4"/>
      <c r="Y79" s="5"/>
      <c r="Z79" s="5"/>
      <c r="AA79" s="6"/>
    </row>
    <row r="80" ht="51.75" customHeight="1">
      <c r="A80" s="1"/>
      <c r="B80" s="1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4"/>
      <c r="Y80" s="5"/>
      <c r="Z80" s="5"/>
      <c r="AA80" s="6"/>
    </row>
    <row r="81" ht="51.75" customHeight="1">
      <c r="A81" s="1"/>
      <c r="B81" s="1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4"/>
      <c r="Y81" s="5"/>
      <c r="Z81" s="5"/>
      <c r="AA81" s="6"/>
    </row>
    <row r="82" ht="51.75" customHeight="1">
      <c r="A82" s="1"/>
      <c r="B82" s="1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4"/>
      <c r="Y82" s="5"/>
      <c r="Z82" s="5"/>
      <c r="AA82" s="6"/>
    </row>
    <row r="83" ht="51.75" customHeight="1">
      <c r="A83" s="1"/>
      <c r="B83" s="1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4"/>
      <c r="Y83" s="5"/>
      <c r="Z83" s="5"/>
      <c r="AA83" s="6"/>
    </row>
    <row r="84" ht="51.75" customHeight="1">
      <c r="A84" s="1"/>
      <c r="B84" s="1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4"/>
      <c r="Y84" s="5"/>
      <c r="Z84" s="5"/>
      <c r="AA84" s="6"/>
    </row>
    <row r="85" ht="51.75" customHeight="1">
      <c r="A85" s="1"/>
      <c r="B85" s="1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4"/>
      <c r="Y85" s="5"/>
      <c r="Z85" s="5"/>
      <c r="AA85" s="6"/>
    </row>
    <row r="86" ht="51.75" customHeight="1">
      <c r="A86" s="1"/>
      <c r="B86" s="1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4"/>
      <c r="Y86" s="5"/>
      <c r="Z86" s="5"/>
      <c r="AA86" s="6"/>
    </row>
    <row r="87" ht="51.75" customHeight="1">
      <c r="A87" s="1"/>
      <c r="B87" s="1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4"/>
      <c r="Y87" s="5"/>
      <c r="Z87" s="5"/>
      <c r="AA87" s="6"/>
    </row>
    <row r="88" ht="51.75" customHeight="1">
      <c r="A88" s="1"/>
      <c r="B88" s="1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4"/>
      <c r="Y88" s="5"/>
      <c r="Z88" s="5"/>
      <c r="AA88" s="6"/>
    </row>
    <row r="89" ht="51.75" customHeight="1">
      <c r="A89" s="1"/>
      <c r="B89" s="1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4"/>
      <c r="Y89" s="5"/>
      <c r="Z89" s="5"/>
      <c r="AA89" s="6"/>
    </row>
    <row r="90" ht="51.75" customHeight="1">
      <c r="A90" s="1"/>
      <c r="B90" s="1"/>
      <c r="C90" s="2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4"/>
      <c r="Y90" s="5"/>
      <c r="Z90" s="5"/>
      <c r="AA90" s="6"/>
    </row>
    <row r="91" ht="51.75" customHeight="1">
      <c r="A91" s="1"/>
      <c r="B91" s="1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4"/>
      <c r="Y91" s="5"/>
      <c r="Z91" s="5"/>
      <c r="AA91" s="6"/>
    </row>
    <row r="92" ht="51.75" customHeight="1">
      <c r="A92" s="1"/>
      <c r="B92" s="1"/>
      <c r="C92" s="2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4"/>
      <c r="Y92" s="5"/>
      <c r="Z92" s="5"/>
      <c r="AA92" s="6"/>
    </row>
    <row r="93" ht="51.75" customHeight="1">
      <c r="A93" s="1"/>
      <c r="B93" s="1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4"/>
      <c r="Y93" s="5"/>
      <c r="Z93" s="5"/>
      <c r="AA93" s="6"/>
    </row>
    <row r="94" ht="51.75" customHeight="1">
      <c r="A94" s="1"/>
      <c r="B94" s="1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4"/>
      <c r="Y94" s="5"/>
      <c r="Z94" s="5"/>
      <c r="AA94" s="6"/>
    </row>
    <row r="95" ht="51.75" customHeight="1">
      <c r="A95" s="1"/>
      <c r="B95" s="1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4"/>
      <c r="Y95" s="5"/>
      <c r="Z95" s="5"/>
      <c r="AA95" s="6"/>
    </row>
    <row r="96" ht="51.75" customHeight="1">
      <c r="A96" s="1"/>
      <c r="B96" s="1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4"/>
      <c r="Y96" s="5"/>
      <c r="Z96" s="5"/>
      <c r="AA96" s="6"/>
    </row>
    <row r="97" ht="51.75" customHeight="1">
      <c r="A97" s="1"/>
      <c r="B97" s="1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4"/>
      <c r="Y97" s="5"/>
      <c r="Z97" s="5"/>
      <c r="AA97" s="6"/>
    </row>
    <row r="98" ht="51.75" customHeight="1">
      <c r="A98" s="1"/>
      <c r="B98" s="1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4"/>
      <c r="Y98" s="5"/>
      <c r="Z98" s="5"/>
      <c r="AA98" s="6"/>
    </row>
    <row r="99" ht="51.75" customHeight="1">
      <c r="A99" s="1"/>
      <c r="B99" s="1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4"/>
      <c r="Y99" s="5"/>
      <c r="Z99" s="5"/>
      <c r="AA99" s="6"/>
    </row>
    <row r="100" ht="51.75" customHeight="1">
      <c r="A100" s="1"/>
      <c r="B100" s="1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4"/>
      <c r="Y100" s="5"/>
      <c r="Z100" s="5"/>
      <c r="AA100" s="6"/>
    </row>
    <row r="101" ht="51.75" customHeight="1">
      <c r="A101" s="1"/>
      <c r="B101" s="1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4"/>
      <c r="Y101" s="5"/>
      <c r="Z101" s="5"/>
      <c r="AA101" s="6"/>
    </row>
    <row r="102" ht="51.75" customHeight="1">
      <c r="A102" s="1"/>
      <c r="B102" s="1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4"/>
      <c r="Y102" s="5"/>
      <c r="Z102" s="5"/>
      <c r="AA102" s="6"/>
    </row>
    <row r="103" ht="51.75" customHeight="1">
      <c r="A103" s="1"/>
      <c r="B103" s="1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4"/>
      <c r="Y103" s="5"/>
      <c r="Z103" s="5"/>
      <c r="AA103" s="6"/>
    </row>
    <row r="104" ht="51.75" customHeight="1">
      <c r="A104" s="1"/>
      <c r="B104" s="1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4"/>
      <c r="Y104" s="5"/>
      <c r="Z104" s="5"/>
      <c r="AA104" s="6"/>
    </row>
    <row r="105" ht="51.75" customHeight="1">
      <c r="A105" s="1"/>
      <c r="B105" s="1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4"/>
      <c r="Y105" s="5"/>
      <c r="Z105" s="5"/>
      <c r="AA105" s="6"/>
    </row>
    <row r="106" ht="51.75" customHeight="1">
      <c r="A106" s="1"/>
      <c r="B106" s="1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4"/>
      <c r="Y106" s="5"/>
      <c r="Z106" s="5"/>
      <c r="AA106" s="6"/>
    </row>
    <row r="107" ht="51.75" customHeight="1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4"/>
      <c r="Y107" s="5"/>
      <c r="Z107" s="5"/>
      <c r="AA107" s="6"/>
    </row>
    <row r="108" ht="51.75" customHeight="1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4"/>
      <c r="Y108" s="5"/>
      <c r="Z108" s="5"/>
      <c r="AA108" s="6"/>
    </row>
    <row r="109" ht="51.75" customHeight="1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4"/>
      <c r="Y109" s="5"/>
      <c r="Z109" s="5"/>
      <c r="AA109" s="6"/>
    </row>
    <row r="110" ht="51.75" customHeight="1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4"/>
      <c r="Y110" s="5"/>
      <c r="Z110" s="5"/>
      <c r="AA110" s="6"/>
    </row>
    <row r="111" ht="51.75" customHeight="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4"/>
      <c r="Y111" s="5"/>
      <c r="Z111" s="5"/>
      <c r="AA111" s="6"/>
    </row>
    <row r="112" ht="51.75" customHeight="1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4"/>
      <c r="Y112" s="5"/>
      <c r="Z112" s="5"/>
      <c r="AA112" s="6"/>
    </row>
    <row r="113" ht="51.75" customHeight="1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4"/>
      <c r="Y113" s="5"/>
      <c r="Z113" s="5"/>
      <c r="AA113" s="6"/>
    </row>
    <row r="114" ht="51.75" customHeight="1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4"/>
      <c r="Y114" s="5"/>
      <c r="Z114" s="5"/>
      <c r="AA114" s="6"/>
    </row>
    <row r="115" ht="51.75" customHeight="1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4"/>
      <c r="Y115" s="5"/>
      <c r="Z115" s="5"/>
      <c r="AA115" s="6"/>
    </row>
    <row r="116" ht="51.75" customHeight="1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4"/>
      <c r="Y116" s="5"/>
      <c r="Z116" s="5"/>
      <c r="AA116" s="6"/>
    </row>
    <row r="117" ht="51.75" customHeight="1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4"/>
      <c r="Y117" s="5"/>
      <c r="Z117" s="5"/>
      <c r="AA117" s="6"/>
    </row>
    <row r="118" ht="51.75" customHeight="1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4"/>
      <c r="Y118" s="5"/>
      <c r="Z118" s="5"/>
      <c r="AA118" s="6"/>
    </row>
    <row r="119" ht="51.75" customHeight="1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4"/>
      <c r="Y119" s="5"/>
      <c r="Z119" s="5"/>
      <c r="AA119" s="6"/>
    </row>
    <row r="120" ht="51.75" customHeight="1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4"/>
      <c r="Y120" s="5"/>
      <c r="Z120" s="5"/>
      <c r="AA120" s="6"/>
    </row>
    <row r="121" ht="51.75" customHeight="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4"/>
      <c r="Y121" s="5"/>
      <c r="Z121" s="5"/>
      <c r="AA121" s="6"/>
    </row>
    <row r="122" ht="51.75" customHeight="1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4"/>
      <c r="Y122" s="5"/>
      <c r="Z122" s="5"/>
      <c r="AA122" s="6"/>
    </row>
    <row r="123" ht="51.75" customHeight="1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4"/>
      <c r="Y123" s="5"/>
      <c r="Z123" s="5"/>
      <c r="AA123" s="6"/>
    </row>
    <row r="124" ht="51.75" customHeight="1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4"/>
      <c r="Y124" s="5"/>
      <c r="Z124" s="5"/>
      <c r="AA124" s="6"/>
    </row>
    <row r="125" ht="51.75" customHeight="1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4"/>
      <c r="Y125" s="5"/>
      <c r="Z125" s="5"/>
      <c r="AA125" s="6"/>
    </row>
    <row r="126" ht="51.75" customHeight="1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4"/>
      <c r="Y126" s="5"/>
      <c r="Z126" s="5"/>
      <c r="AA126" s="6"/>
    </row>
    <row r="127" ht="51.75" customHeight="1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4"/>
      <c r="Y127" s="5"/>
      <c r="Z127" s="5"/>
      <c r="AA127" s="6"/>
    </row>
    <row r="128" ht="51.75" customHeight="1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4"/>
      <c r="Y128" s="5"/>
      <c r="Z128" s="5"/>
      <c r="AA128" s="6"/>
    </row>
    <row r="129" ht="51.75" customHeight="1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4"/>
      <c r="Y129" s="5"/>
      <c r="Z129" s="5"/>
      <c r="AA129" s="6"/>
    </row>
    <row r="130" ht="51.75" customHeight="1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4"/>
      <c r="Y130" s="5"/>
      <c r="Z130" s="5"/>
      <c r="AA130" s="6"/>
    </row>
    <row r="131" ht="51.75" customHeight="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4"/>
      <c r="Y131" s="5"/>
      <c r="Z131" s="5"/>
      <c r="AA131" s="6"/>
    </row>
    <row r="132" ht="51.75" customHeight="1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4"/>
      <c r="Y132" s="5"/>
      <c r="Z132" s="5"/>
      <c r="AA132" s="6"/>
    </row>
    <row r="133" ht="51.75" customHeight="1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4"/>
      <c r="Y133" s="5"/>
      <c r="Z133" s="5"/>
      <c r="AA133" s="6"/>
    </row>
    <row r="134" ht="51.75" customHeight="1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4"/>
      <c r="Y134" s="5"/>
      <c r="Z134" s="5"/>
      <c r="AA134" s="6"/>
    </row>
    <row r="135" ht="51.75" customHeight="1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4"/>
      <c r="Y135" s="5"/>
      <c r="Z135" s="5"/>
      <c r="AA135" s="6"/>
    </row>
    <row r="136" ht="51.75" customHeight="1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4"/>
      <c r="Y136" s="5"/>
      <c r="Z136" s="5"/>
      <c r="AA136" s="6"/>
    </row>
    <row r="137" ht="51.75" customHeight="1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4"/>
      <c r="Y137" s="5"/>
      <c r="Z137" s="5"/>
      <c r="AA137" s="6"/>
    </row>
    <row r="138" ht="51.75" customHeight="1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4"/>
      <c r="Y138" s="5"/>
      <c r="Z138" s="5"/>
      <c r="AA138" s="6"/>
    </row>
    <row r="139" ht="51.75" customHeight="1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4"/>
      <c r="Y139" s="5"/>
      <c r="Z139" s="5"/>
      <c r="AA139" s="6"/>
    </row>
    <row r="140" ht="51.75" customHeight="1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4"/>
      <c r="Y140" s="5"/>
      <c r="Z140" s="5"/>
      <c r="AA140" s="6"/>
    </row>
    <row r="141" ht="51.75" customHeight="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4"/>
      <c r="Y141" s="5"/>
      <c r="Z141" s="5"/>
      <c r="AA141" s="6"/>
    </row>
    <row r="142" ht="51.75" customHeight="1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4"/>
      <c r="Y142" s="5"/>
      <c r="Z142" s="5"/>
      <c r="AA142" s="6"/>
    </row>
    <row r="143" ht="51.75" customHeight="1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4"/>
      <c r="Y143" s="5"/>
      <c r="Z143" s="5"/>
      <c r="AA143" s="6"/>
    </row>
    <row r="144" ht="51.75" customHeight="1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4"/>
      <c r="Y144" s="5"/>
      <c r="Z144" s="5"/>
      <c r="AA144" s="6"/>
    </row>
    <row r="145" ht="51.75" customHeight="1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4"/>
      <c r="Y145" s="5"/>
      <c r="Z145" s="5"/>
      <c r="AA145" s="6"/>
    </row>
    <row r="146" ht="51.75" customHeight="1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4"/>
      <c r="Y146" s="5"/>
      <c r="Z146" s="5"/>
      <c r="AA146" s="6"/>
    </row>
    <row r="147" ht="51.75" customHeight="1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4"/>
      <c r="Y147" s="5"/>
      <c r="Z147" s="5"/>
      <c r="AA147" s="6"/>
    </row>
    <row r="148" ht="51.75" customHeight="1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4"/>
      <c r="Y148" s="5"/>
      <c r="Z148" s="5"/>
      <c r="AA148" s="6"/>
    </row>
    <row r="149" ht="51.75" customHeight="1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4"/>
      <c r="Y149" s="5"/>
      <c r="Z149" s="5"/>
      <c r="AA149" s="6"/>
    </row>
    <row r="150" ht="51.75" customHeight="1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4"/>
      <c r="Y150" s="5"/>
      <c r="Z150" s="5"/>
      <c r="AA150" s="6"/>
    </row>
    <row r="151" ht="51.75" customHeight="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4"/>
      <c r="Y151" s="5"/>
      <c r="Z151" s="5"/>
      <c r="AA151" s="6"/>
    </row>
    <row r="152" ht="51.75" customHeight="1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4"/>
      <c r="Y152" s="5"/>
      <c r="Z152" s="5"/>
      <c r="AA152" s="6"/>
    </row>
    <row r="153" ht="51.75" customHeight="1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4"/>
      <c r="Y153" s="5"/>
      <c r="Z153" s="5"/>
      <c r="AA153" s="6"/>
    </row>
    <row r="154" ht="51.75" customHeight="1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4"/>
      <c r="Y154" s="5"/>
      <c r="Z154" s="5"/>
      <c r="AA154" s="6"/>
    </row>
    <row r="155" ht="51.75" customHeight="1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4"/>
      <c r="Y155" s="5"/>
      <c r="Z155" s="5"/>
      <c r="AA155" s="6"/>
    </row>
    <row r="156" ht="51.75" customHeight="1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4"/>
      <c r="Y156" s="5"/>
      <c r="Z156" s="5"/>
      <c r="AA156" s="6"/>
    </row>
    <row r="157" ht="51.75" customHeight="1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4"/>
      <c r="Y157" s="5"/>
      <c r="Z157" s="5"/>
      <c r="AA157" s="6"/>
    </row>
    <row r="158" ht="51.75" customHeight="1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4"/>
      <c r="Y158" s="5"/>
      <c r="Z158" s="5"/>
      <c r="AA158" s="6"/>
    </row>
    <row r="159" ht="51.75" customHeight="1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4"/>
      <c r="Y159" s="5"/>
      <c r="Z159" s="5"/>
      <c r="AA159" s="6"/>
    </row>
    <row r="160" ht="51.75" customHeight="1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4"/>
      <c r="Y160" s="5"/>
      <c r="Z160" s="5"/>
      <c r="AA160" s="6"/>
    </row>
    <row r="161" ht="51.75" customHeight="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4"/>
      <c r="Y161" s="5"/>
      <c r="Z161" s="5"/>
      <c r="AA161" s="6"/>
    </row>
    <row r="162" ht="51.75" customHeight="1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4"/>
      <c r="Y162" s="5"/>
      <c r="Z162" s="5"/>
      <c r="AA162" s="6"/>
    </row>
    <row r="163" ht="51.75" customHeight="1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4"/>
      <c r="Y163" s="5"/>
      <c r="Z163" s="5"/>
      <c r="AA163" s="6"/>
    </row>
    <row r="164" ht="51.75" customHeight="1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4"/>
      <c r="Y164" s="5"/>
      <c r="Z164" s="5"/>
      <c r="AA164" s="6"/>
    </row>
    <row r="165" ht="51.75" customHeight="1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4"/>
      <c r="Y165" s="5"/>
      <c r="Z165" s="5"/>
      <c r="AA165" s="6"/>
    </row>
    <row r="166" ht="51.75" customHeight="1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4"/>
      <c r="Y166" s="5"/>
      <c r="Z166" s="5"/>
      <c r="AA166" s="6"/>
    </row>
    <row r="167" ht="51.75" customHeight="1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4"/>
      <c r="Y167" s="5"/>
      <c r="Z167" s="5"/>
      <c r="AA167" s="6"/>
    </row>
    <row r="168" ht="51.75" customHeight="1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4"/>
      <c r="Y168" s="5"/>
      <c r="Z168" s="5"/>
      <c r="AA168" s="6"/>
    </row>
    <row r="169" ht="51.75" customHeight="1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4"/>
      <c r="Y169" s="5"/>
      <c r="Z169" s="5"/>
      <c r="AA169" s="6"/>
    </row>
    <row r="170" ht="51.75" customHeight="1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4"/>
      <c r="Y170" s="5"/>
      <c r="Z170" s="5"/>
      <c r="AA170" s="6"/>
    </row>
    <row r="171" ht="51.75" customHeight="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4"/>
      <c r="Y171" s="5"/>
      <c r="Z171" s="5"/>
      <c r="AA171" s="6"/>
    </row>
    <row r="172" ht="51.75" customHeight="1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4"/>
      <c r="Y172" s="5"/>
      <c r="Z172" s="5"/>
      <c r="AA172" s="6"/>
    </row>
    <row r="173" ht="51.75" customHeight="1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4"/>
      <c r="Y173" s="5"/>
      <c r="Z173" s="5"/>
      <c r="AA173" s="6"/>
    </row>
    <row r="174" ht="51.75" customHeight="1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4"/>
      <c r="Y174" s="5"/>
      <c r="Z174" s="5"/>
      <c r="AA174" s="6"/>
    </row>
    <row r="175" ht="51.75" customHeight="1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4"/>
      <c r="Y175" s="5"/>
      <c r="Z175" s="5"/>
      <c r="AA175" s="6"/>
    </row>
    <row r="176" ht="51.75" customHeight="1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4"/>
      <c r="Y176" s="5"/>
      <c r="Z176" s="5"/>
      <c r="AA176" s="6"/>
    </row>
    <row r="177" ht="51.75" customHeight="1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4"/>
      <c r="Y177" s="5"/>
      <c r="Z177" s="5"/>
      <c r="AA177" s="6"/>
    </row>
    <row r="178" ht="51.75" customHeight="1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4"/>
      <c r="Y178" s="5"/>
      <c r="Z178" s="5"/>
      <c r="AA178" s="6"/>
    </row>
    <row r="179" ht="51.75" customHeight="1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4"/>
      <c r="Y179" s="5"/>
      <c r="Z179" s="5"/>
      <c r="AA179" s="6"/>
    </row>
    <row r="180" ht="51.75" customHeight="1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4"/>
      <c r="Y180" s="5"/>
      <c r="Z180" s="5"/>
      <c r="AA180" s="6"/>
    </row>
    <row r="181" ht="51.75" customHeight="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4"/>
      <c r="Y181" s="5"/>
      <c r="Z181" s="5"/>
      <c r="AA181" s="6"/>
    </row>
    <row r="182" ht="51.75" customHeight="1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4"/>
      <c r="Y182" s="5"/>
      <c r="Z182" s="5"/>
      <c r="AA182" s="6"/>
    </row>
    <row r="183" ht="51.75" customHeight="1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4"/>
      <c r="Y183" s="5"/>
      <c r="Z183" s="5"/>
      <c r="AA183" s="6"/>
    </row>
    <row r="184" ht="51.75" customHeight="1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4"/>
      <c r="Y184" s="5"/>
      <c r="Z184" s="5"/>
      <c r="AA184" s="6"/>
    </row>
    <row r="185" ht="51.75" customHeight="1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4"/>
      <c r="Y185" s="5"/>
      <c r="Z185" s="5"/>
      <c r="AA185" s="6"/>
    </row>
    <row r="186" ht="51.75" customHeight="1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4"/>
      <c r="Y186" s="5"/>
      <c r="Z186" s="5"/>
      <c r="AA186" s="6"/>
    </row>
    <row r="187" ht="51.75" customHeight="1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4"/>
      <c r="Y187" s="5"/>
      <c r="Z187" s="5"/>
      <c r="AA187" s="6"/>
    </row>
    <row r="188" ht="51.75" customHeight="1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4"/>
      <c r="Y188" s="5"/>
      <c r="Z188" s="5"/>
      <c r="AA188" s="6"/>
    </row>
    <row r="189" ht="51.75" customHeight="1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4"/>
      <c r="Y189" s="5"/>
      <c r="Z189" s="5"/>
      <c r="AA189" s="6"/>
    </row>
    <row r="190" ht="51.75" customHeight="1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4"/>
      <c r="Y190" s="5"/>
      <c r="Z190" s="5"/>
      <c r="AA190" s="6"/>
    </row>
    <row r="191" ht="51.75" customHeight="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4"/>
      <c r="Y191" s="5"/>
      <c r="Z191" s="5"/>
      <c r="AA191" s="6"/>
    </row>
    <row r="192" ht="51.75" customHeight="1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4"/>
      <c r="Y192" s="5"/>
      <c r="Z192" s="5"/>
      <c r="AA192" s="6"/>
    </row>
    <row r="193" ht="51.75" customHeight="1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4"/>
      <c r="Y193" s="5"/>
      <c r="Z193" s="5"/>
      <c r="AA193" s="6"/>
    </row>
    <row r="194" ht="51.75" customHeight="1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4"/>
      <c r="Y194" s="5"/>
      <c r="Z194" s="5"/>
      <c r="AA194" s="6"/>
    </row>
    <row r="195" ht="51.75" customHeight="1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4"/>
      <c r="Y195" s="5"/>
      <c r="Z195" s="5"/>
      <c r="AA195" s="6"/>
    </row>
    <row r="196" ht="51.75" customHeight="1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4"/>
      <c r="Y196" s="5"/>
      <c r="Z196" s="5"/>
      <c r="AA196" s="6"/>
    </row>
    <row r="197" ht="51.75" customHeight="1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4"/>
      <c r="Y197" s="5"/>
      <c r="Z197" s="5"/>
      <c r="AA197" s="6"/>
    </row>
    <row r="198" ht="51.75" customHeight="1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4"/>
      <c r="Y198" s="5"/>
      <c r="Z198" s="5"/>
      <c r="AA198" s="6"/>
    </row>
    <row r="199" ht="51.75" customHeight="1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4"/>
      <c r="Y199" s="5"/>
      <c r="Z199" s="5"/>
      <c r="AA199" s="6"/>
    </row>
    <row r="200" ht="51.75" customHeight="1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4"/>
      <c r="Y200" s="5"/>
      <c r="Z200" s="5"/>
      <c r="AA200" s="6"/>
    </row>
    <row r="201" ht="51.75" customHeight="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4"/>
      <c r="Y201" s="5"/>
      <c r="Z201" s="5"/>
      <c r="AA201" s="6"/>
    </row>
    <row r="202" ht="51.75" customHeight="1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4"/>
      <c r="Y202" s="5"/>
      <c r="Z202" s="5"/>
      <c r="AA202" s="6"/>
    </row>
    <row r="203" ht="51.75" customHeight="1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4"/>
      <c r="Y203" s="5"/>
      <c r="Z203" s="5"/>
      <c r="AA203" s="6"/>
    </row>
    <row r="204" ht="51.75" customHeight="1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4"/>
      <c r="Y204" s="5"/>
      <c r="Z204" s="5"/>
      <c r="AA204" s="6"/>
    </row>
    <row r="205" ht="51.75" customHeight="1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4"/>
      <c r="Y205" s="5"/>
      <c r="Z205" s="5"/>
      <c r="AA205" s="6"/>
    </row>
    <row r="206" ht="51.75" customHeight="1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4"/>
      <c r="Y206" s="5"/>
      <c r="Z206" s="5"/>
      <c r="AA206" s="6"/>
    </row>
    <row r="207" ht="51.75" customHeight="1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4"/>
      <c r="Y207" s="5"/>
      <c r="Z207" s="5"/>
      <c r="AA207" s="6"/>
    </row>
    <row r="208" ht="51.75" customHeight="1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4"/>
      <c r="Y208" s="5"/>
      <c r="Z208" s="5"/>
      <c r="AA208" s="6"/>
    </row>
    <row r="209" ht="51.75" customHeight="1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4"/>
      <c r="Y209" s="5"/>
      <c r="Z209" s="5"/>
      <c r="AA209" s="6"/>
    </row>
    <row r="210" ht="51.75" customHeight="1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4"/>
      <c r="Y210" s="5"/>
      <c r="Z210" s="5"/>
      <c r="AA210" s="6"/>
    </row>
    <row r="211" ht="51.75" customHeight="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4"/>
      <c r="Y211" s="5"/>
      <c r="Z211" s="5"/>
      <c r="AA211" s="6"/>
    </row>
    <row r="212" ht="51.75" customHeight="1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4"/>
      <c r="Y212" s="5"/>
      <c r="Z212" s="5"/>
      <c r="AA212" s="6"/>
    </row>
    <row r="213" ht="51.75" customHeight="1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4"/>
      <c r="Y213" s="5"/>
      <c r="Z213" s="5"/>
      <c r="AA213" s="6"/>
    </row>
    <row r="214" ht="51.75" customHeight="1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4"/>
      <c r="Y214" s="5"/>
      <c r="Z214" s="5"/>
      <c r="AA214" s="6"/>
    </row>
    <row r="215" ht="51.75" customHeight="1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4"/>
      <c r="Y215" s="5"/>
      <c r="Z215" s="5"/>
      <c r="AA215" s="6"/>
    </row>
    <row r="216" ht="51.75" customHeight="1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4"/>
      <c r="Y216" s="5"/>
      <c r="Z216" s="5"/>
      <c r="AA216" s="6"/>
    </row>
    <row r="217" ht="51.75" customHeight="1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4"/>
      <c r="Y217" s="5"/>
      <c r="Z217" s="5"/>
      <c r="AA217" s="6"/>
    </row>
    <row r="218" ht="51.75" customHeight="1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4"/>
      <c r="Y218" s="5"/>
      <c r="Z218" s="5"/>
      <c r="AA218" s="6"/>
    </row>
    <row r="219" ht="51.75" customHeight="1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4"/>
      <c r="Y219" s="5"/>
      <c r="Z219" s="5"/>
      <c r="AA219" s="6"/>
    </row>
    <row r="220" ht="51.75" customHeight="1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4"/>
      <c r="Y220" s="5"/>
      <c r="Z220" s="5"/>
      <c r="AA220" s="6"/>
    </row>
    <row r="221" ht="51.75" customHeight="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4"/>
      <c r="Y221" s="5"/>
      <c r="Z221" s="5"/>
      <c r="AA221" s="6"/>
    </row>
    <row r="222" ht="51.75" customHeight="1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4"/>
      <c r="Y222" s="5"/>
      <c r="Z222" s="5"/>
      <c r="AA222" s="6"/>
    </row>
    <row r="223" ht="51.75" customHeight="1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4"/>
      <c r="Y223" s="5"/>
      <c r="Z223" s="5"/>
      <c r="AA223" s="6"/>
    </row>
    <row r="224" ht="51.75" customHeight="1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4"/>
      <c r="Y224" s="5"/>
      <c r="Z224" s="5"/>
      <c r="AA224" s="6"/>
    </row>
    <row r="225" ht="51.75" customHeight="1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4"/>
      <c r="Y225" s="5"/>
      <c r="Z225" s="5"/>
      <c r="AA225" s="6"/>
    </row>
    <row r="226" ht="51.75" customHeight="1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4"/>
      <c r="Y226" s="5"/>
      <c r="Z226" s="5"/>
      <c r="AA226" s="6"/>
    </row>
    <row r="227" ht="51.75" customHeight="1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4"/>
      <c r="Y227" s="5"/>
      <c r="Z227" s="5"/>
      <c r="AA227" s="6"/>
    </row>
    <row r="228" ht="51.75" customHeight="1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4"/>
      <c r="Y228" s="5"/>
      <c r="Z228" s="5"/>
      <c r="AA228" s="6"/>
    </row>
    <row r="229" ht="51.75" customHeight="1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4"/>
      <c r="Y229" s="5"/>
      <c r="Z229" s="5"/>
      <c r="AA229" s="6"/>
    </row>
    <row r="230" ht="51.75" customHeight="1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4"/>
      <c r="Y230" s="5"/>
      <c r="Z230" s="5"/>
      <c r="AA230" s="6"/>
    </row>
    <row r="231" ht="51.75" customHeight="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4"/>
      <c r="Y231" s="5"/>
      <c r="Z231" s="5"/>
      <c r="AA231" s="6"/>
    </row>
    <row r="232" ht="51.75" customHeight="1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4"/>
      <c r="Y232" s="5"/>
      <c r="Z232" s="5"/>
      <c r="AA232" s="6"/>
    </row>
    <row r="233" ht="51.75" customHeight="1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4"/>
      <c r="Y233" s="5"/>
      <c r="Z233" s="5"/>
      <c r="AA233" s="6"/>
    </row>
    <row r="234" ht="51.75" customHeight="1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4"/>
      <c r="Y234" s="5"/>
      <c r="Z234" s="5"/>
      <c r="AA234" s="6"/>
    </row>
    <row r="235" ht="51.75" customHeight="1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4"/>
      <c r="Y235" s="5"/>
      <c r="Z235" s="5"/>
      <c r="AA235" s="6"/>
    </row>
    <row r="236" ht="51.75" customHeight="1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4"/>
      <c r="Y236" s="5"/>
      <c r="Z236" s="5"/>
      <c r="AA236" s="6"/>
    </row>
    <row r="237" ht="51.75" customHeight="1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4"/>
      <c r="Y237" s="5"/>
      <c r="Z237" s="5"/>
      <c r="AA237" s="6"/>
    </row>
    <row r="238" ht="51.75" customHeight="1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4"/>
      <c r="Y238" s="5"/>
      <c r="Z238" s="5"/>
      <c r="AA238" s="6"/>
    </row>
    <row r="239" ht="51.75" customHeight="1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4"/>
      <c r="Y239" s="5"/>
      <c r="Z239" s="5"/>
      <c r="AA239" s="6"/>
    </row>
    <row r="240" ht="51.75" customHeight="1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4"/>
      <c r="Y240" s="5"/>
      <c r="Z240" s="5"/>
      <c r="AA240" s="6"/>
    </row>
    <row r="241" ht="51.75" customHeight="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4"/>
      <c r="Y241" s="5"/>
      <c r="Z241" s="5"/>
      <c r="AA241" s="6"/>
    </row>
    <row r="242" ht="51.75" customHeight="1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4"/>
      <c r="Y242" s="5"/>
      <c r="Z242" s="5"/>
      <c r="AA242" s="6"/>
    </row>
    <row r="243" ht="51.75" customHeight="1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4"/>
      <c r="Y243" s="5"/>
      <c r="Z243" s="5"/>
      <c r="AA243" s="6"/>
    </row>
    <row r="244" ht="51.75" customHeight="1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4"/>
      <c r="Y244" s="5"/>
      <c r="Z244" s="5"/>
      <c r="AA244" s="6"/>
    </row>
    <row r="245" ht="51.75" customHeight="1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4"/>
      <c r="Y245" s="5"/>
      <c r="Z245" s="5"/>
      <c r="AA245" s="6"/>
    </row>
    <row r="246" ht="51.75" customHeight="1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4"/>
      <c r="Y246" s="5"/>
      <c r="Z246" s="5"/>
      <c r="AA246" s="6"/>
    </row>
    <row r="247" ht="51.75" customHeight="1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4"/>
      <c r="Y247" s="5"/>
      <c r="Z247" s="5"/>
      <c r="AA247" s="6"/>
    </row>
    <row r="248" ht="51.75" customHeight="1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4"/>
      <c r="Y248" s="5"/>
      <c r="Z248" s="5"/>
      <c r="AA248" s="6"/>
    </row>
    <row r="249" ht="51.75" customHeight="1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4"/>
      <c r="Y249" s="5"/>
      <c r="Z249" s="5"/>
      <c r="AA249" s="6"/>
    </row>
    <row r="250" ht="51.75" customHeight="1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4"/>
      <c r="Y250" s="5"/>
      <c r="Z250" s="5"/>
      <c r="AA250" s="6"/>
    </row>
    <row r="251" ht="51.75" customHeight="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4"/>
      <c r="Y251" s="5"/>
      <c r="Z251" s="5"/>
      <c r="AA251" s="6"/>
    </row>
    <row r="252" ht="51.75" customHeight="1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4"/>
      <c r="Y252" s="5"/>
      <c r="Z252" s="5"/>
      <c r="AA252" s="6"/>
    </row>
    <row r="253" ht="51.75" customHeight="1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4"/>
      <c r="Y253" s="5"/>
      <c r="Z253" s="5"/>
      <c r="AA253" s="6"/>
    </row>
    <row r="254" ht="51.75" customHeight="1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4"/>
      <c r="Y254" s="5"/>
      <c r="Z254" s="5"/>
      <c r="AA254" s="6"/>
    </row>
    <row r="255" ht="51.75" customHeight="1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4"/>
      <c r="Y255" s="5"/>
      <c r="Z255" s="5"/>
      <c r="AA255" s="6"/>
    </row>
    <row r="256" ht="51.75" customHeight="1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4"/>
      <c r="Y256" s="5"/>
      <c r="Z256" s="5"/>
      <c r="AA256" s="6"/>
    </row>
    <row r="257" ht="51.75" customHeight="1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4"/>
      <c r="Y257" s="5"/>
      <c r="Z257" s="5"/>
      <c r="AA257" s="6"/>
    </row>
    <row r="258" ht="51.75" customHeight="1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4"/>
      <c r="Y258" s="5"/>
      <c r="Z258" s="5"/>
      <c r="AA258" s="6"/>
    </row>
    <row r="259" ht="51.75" customHeight="1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4"/>
      <c r="Y259" s="5"/>
      <c r="Z259" s="5"/>
      <c r="AA259" s="6"/>
    </row>
    <row r="260" ht="51.75" customHeight="1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4"/>
      <c r="Y260" s="5"/>
      <c r="Z260" s="5"/>
      <c r="AA260" s="6"/>
    </row>
    <row r="261" ht="51.75" customHeight="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4"/>
      <c r="Y261" s="5"/>
      <c r="Z261" s="5"/>
      <c r="AA261" s="6"/>
    </row>
    <row r="262" ht="51.75" customHeight="1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4"/>
      <c r="Y262" s="5"/>
      <c r="Z262" s="5"/>
      <c r="AA262" s="6"/>
    </row>
    <row r="263" ht="51.75" customHeight="1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4"/>
      <c r="Y263" s="5"/>
      <c r="Z263" s="5"/>
      <c r="AA263" s="6"/>
    </row>
    <row r="264" ht="51.75" customHeight="1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4"/>
      <c r="Y264" s="5"/>
      <c r="Z264" s="5"/>
      <c r="AA264" s="6"/>
    </row>
    <row r="265" ht="51.75" customHeight="1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4"/>
      <c r="Y265" s="5"/>
      <c r="Z265" s="5"/>
      <c r="AA265" s="6"/>
    </row>
    <row r="266" ht="51.75" customHeight="1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4"/>
      <c r="Y266" s="5"/>
      <c r="Z266" s="5"/>
      <c r="AA266" s="6"/>
    </row>
    <row r="267" ht="51.75" customHeight="1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4"/>
      <c r="Y267" s="5"/>
      <c r="Z267" s="5"/>
      <c r="AA267" s="6"/>
    </row>
    <row r="268" ht="51.75" customHeight="1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4"/>
      <c r="Y268" s="5"/>
      <c r="Z268" s="5"/>
      <c r="AA268" s="6"/>
    </row>
    <row r="269" ht="51.75" customHeight="1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4"/>
      <c r="Y269" s="5"/>
      <c r="Z269" s="5"/>
      <c r="AA269" s="6"/>
    </row>
    <row r="270" ht="51.75" customHeight="1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4"/>
      <c r="Y270" s="5"/>
      <c r="Z270" s="5"/>
      <c r="AA270" s="6"/>
    </row>
    <row r="271" ht="51.75" customHeight="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4"/>
      <c r="Y271" s="5"/>
      <c r="Z271" s="5"/>
      <c r="AA271" s="6"/>
    </row>
    <row r="272" ht="51.75" customHeight="1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4"/>
      <c r="Y272" s="5"/>
      <c r="Z272" s="5"/>
      <c r="AA272" s="6"/>
    </row>
    <row r="273" ht="51.75" customHeight="1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4"/>
      <c r="Y273" s="5"/>
      <c r="Z273" s="5"/>
      <c r="AA273" s="6"/>
    </row>
    <row r="274" ht="51.75" customHeight="1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4"/>
      <c r="Y274" s="5"/>
      <c r="Z274" s="5"/>
      <c r="AA274" s="6"/>
    </row>
    <row r="275" ht="51.75" customHeight="1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4"/>
      <c r="Y275" s="5"/>
      <c r="Z275" s="5"/>
      <c r="AA275" s="6"/>
    </row>
    <row r="276" ht="51.75" customHeight="1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4"/>
      <c r="Y276" s="5"/>
      <c r="Z276" s="5"/>
      <c r="AA276" s="6"/>
    </row>
    <row r="277" ht="51.75" customHeight="1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4"/>
      <c r="Y277" s="5"/>
      <c r="Z277" s="5"/>
      <c r="AA277" s="6"/>
    </row>
    <row r="278" ht="51.75" customHeight="1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4"/>
      <c r="Y278" s="5"/>
      <c r="Z278" s="5"/>
      <c r="AA278" s="6"/>
    </row>
    <row r="279" ht="51.75" customHeight="1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4"/>
      <c r="Y279" s="5"/>
      <c r="Z279" s="5"/>
      <c r="AA279" s="6"/>
    </row>
    <row r="280" ht="51.75" customHeight="1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4"/>
      <c r="Y280" s="5"/>
      <c r="Z280" s="5"/>
      <c r="AA280" s="6"/>
    </row>
    <row r="281" ht="51.75" customHeight="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4"/>
      <c r="Y281" s="5"/>
      <c r="Z281" s="5"/>
      <c r="AA281" s="6"/>
    </row>
    <row r="282" ht="51.75" customHeight="1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4"/>
      <c r="Y282" s="5"/>
      <c r="Z282" s="5"/>
      <c r="AA282" s="6"/>
    </row>
    <row r="283" ht="51.75" customHeight="1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4"/>
      <c r="Y283" s="5"/>
      <c r="Z283" s="5"/>
      <c r="AA283" s="6"/>
    </row>
    <row r="284" ht="51.75" customHeight="1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4"/>
      <c r="Y284" s="5"/>
      <c r="Z284" s="5"/>
      <c r="AA284" s="6"/>
    </row>
    <row r="285" ht="51.75" customHeight="1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4"/>
      <c r="Y285" s="5"/>
      <c r="Z285" s="5"/>
      <c r="AA285" s="6"/>
    </row>
    <row r="286" ht="51.75" customHeight="1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4"/>
      <c r="Y286" s="5"/>
      <c r="Z286" s="5"/>
      <c r="AA286" s="6"/>
    </row>
    <row r="287" ht="51.75" customHeight="1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4"/>
      <c r="Y287" s="5"/>
      <c r="Z287" s="5"/>
      <c r="AA287" s="6"/>
    </row>
    <row r="288" ht="51.75" customHeight="1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4"/>
      <c r="Y288" s="5"/>
      <c r="Z288" s="5"/>
      <c r="AA288" s="6"/>
    </row>
    <row r="289" ht="51.75" customHeight="1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4"/>
      <c r="Y289" s="5"/>
      <c r="Z289" s="5"/>
      <c r="AA289" s="6"/>
    </row>
    <row r="290" ht="51.75" customHeight="1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4"/>
      <c r="Y290" s="5"/>
      <c r="Z290" s="5"/>
      <c r="AA290" s="6"/>
    </row>
    <row r="291" ht="51.75" customHeight="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4"/>
      <c r="Y291" s="5"/>
      <c r="Z291" s="5"/>
      <c r="AA291" s="6"/>
    </row>
    <row r="292" ht="51.75" customHeight="1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4"/>
      <c r="Y292" s="5"/>
      <c r="Z292" s="5"/>
      <c r="AA292" s="6"/>
    </row>
    <row r="293" ht="51.75" customHeight="1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4"/>
      <c r="Y293" s="5"/>
      <c r="Z293" s="5"/>
      <c r="AA293" s="6"/>
    </row>
    <row r="294" ht="51.75" customHeight="1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4"/>
      <c r="Y294" s="5"/>
      <c r="Z294" s="5"/>
      <c r="AA294" s="6"/>
    </row>
    <row r="295" ht="51.75" customHeight="1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4"/>
      <c r="Y295" s="5"/>
      <c r="Z295" s="5"/>
      <c r="AA295" s="6"/>
    </row>
    <row r="296" ht="51.75" customHeight="1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4"/>
      <c r="Y296" s="5"/>
      <c r="Z296" s="5"/>
      <c r="AA296" s="6"/>
    </row>
    <row r="297" ht="51.75" customHeight="1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4"/>
      <c r="Y297" s="5"/>
      <c r="Z297" s="5"/>
      <c r="AA297" s="6"/>
    </row>
    <row r="298" ht="51.75" customHeight="1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4"/>
      <c r="Y298" s="5"/>
      <c r="Z298" s="5"/>
      <c r="AA298" s="6"/>
    </row>
    <row r="299" ht="51.75" customHeight="1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4"/>
      <c r="Y299" s="5"/>
      <c r="Z299" s="5"/>
      <c r="AA299" s="6"/>
    </row>
    <row r="300" ht="51.75" customHeight="1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4"/>
      <c r="Y300" s="5"/>
      <c r="Z300" s="5"/>
      <c r="AA300" s="6"/>
    </row>
    <row r="301" ht="51.75" customHeight="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4"/>
      <c r="Y301" s="5"/>
      <c r="Z301" s="5"/>
      <c r="AA301" s="6"/>
    </row>
    <row r="302" ht="51.75" customHeight="1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4"/>
      <c r="Y302" s="5"/>
      <c r="Z302" s="5"/>
      <c r="AA302" s="6"/>
    </row>
    <row r="303" ht="51.75" customHeight="1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4"/>
      <c r="Y303" s="5"/>
      <c r="Z303" s="5"/>
      <c r="AA303" s="6"/>
    </row>
    <row r="304" ht="51.75" customHeight="1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4"/>
      <c r="Y304" s="5"/>
      <c r="Z304" s="5"/>
      <c r="AA304" s="6"/>
    </row>
    <row r="305" ht="51.75" customHeight="1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4"/>
      <c r="Y305" s="5"/>
      <c r="Z305" s="5"/>
      <c r="AA305" s="6"/>
    </row>
    <row r="306" ht="51.75" customHeight="1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4"/>
      <c r="Y306" s="5"/>
      <c r="Z306" s="5"/>
      <c r="AA306" s="6"/>
    </row>
    <row r="307" ht="51.75" customHeight="1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4"/>
      <c r="Y307" s="5"/>
      <c r="Z307" s="5"/>
      <c r="AA307" s="6"/>
    </row>
    <row r="308" ht="51.75" customHeight="1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4"/>
      <c r="Y308" s="5"/>
      <c r="Z308" s="5"/>
      <c r="AA308" s="6"/>
    </row>
    <row r="309" ht="51.75" customHeight="1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4"/>
      <c r="Y309" s="5"/>
      <c r="Z309" s="5"/>
      <c r="AA309" s="6"/>
    </row>
    <row r="310" ht="51.75" customHeight="1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4"/>
      <c r="Y310" s="5"/>
      <c r="Z310" s="5"/>
      <c r="AA310" s="6"/>
    </row>
    <row r="311" ht="51.75" customHeight="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4"/>
      <c r="Y311" s="5"/>
      <c r="Z311" s="5"/>
      <c r="AA311" s="6"/>
    </row>
    <row r="312" ht="51.75" customHeight="1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4"/>
      <c r="Y312" s="5"/>
      <c r="Z312" s="5"/>
      <c r="AA312" s="6"/>
    </row>
    <row r="313" ht="51.75" customHeight="1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4"/>
      <c r="Y313" s="5"/>
      <c r="Z313" s="5"/>
      <c r="AA313" s="6"/>
    </row>
    <row r="314" ht="51.75" customHeight="1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4"/>
      <c r="Y314" s="5"/>
      <c r="Z314" s="5"/>
      <c r="AA314" s="6"/>
    </row>
    <row r="315" ht="51.75" customHeight="1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4"/>
      <c r="Y315" s="5"/>
      <c r="Z315" s="5"/>
      <c r="AA315" s="6"/>
    </row>
    <row r="316" ht="51.75" customHeight="1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4"/>
      <c r="Y316" s="5"/>
      <c r="Z316" s="5"/>
      <c r="AA316" s="6"/>
    </row>
    <row r="317" ht="51.75" customHeight="1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4"/>
      <c r="Y317" s="5"/>
      <c r="Z317" s="5"/>
      <c r="AA317" s="6"/>
    </row>
    <row r="318" ht="51.75" customHeight="1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4"/>
      <c r="Y318" s="5"/>
      <c r="Z318" s="5"/>
      <c r="AA318" s="6"/>
    </row>
    <row r="319" ht="51.75" customHeight="1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4"/>
      <c r="Y319" s="5"/>
      <c r="Z319" s="5"/>
      <c r="AA319" s="6"/>
    </row>
    <row r="320" ht="51.75" customHeight="1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4"/>
      <c r="Y320" s="5"/>
      <c r="Z320" s="5"/>
      <c r="AA320" s="6"/>
    </row>
    <row r="321" ht="51.75" customHeight="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4"/>
      <c r="Y321" s="5"/>
      <c r="Z321" s="5"/>
      <c r="AA321" s="6"/>
    </row>
    <row r="322" ht="51.75" customHeight="1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4"/>
      <c r="Y322" s="5"/>
      <c r="Z322" s="5"/>
      <c r="AA322" s="6"/>
    </row>
    <row r="323" ht="51.75" customHeight="1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4"/>
      <c r="Y323" s="5"/>
      <c r="Z323" s="5"/>
      <c r="AA323" s="6"/>
    </row>
    <row r="324" ht="51.75" customHeight="1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4"/>
      <c r="Y324" s="5"/>
      <c r="Z324" s="5"/>
      <c r="AA324" s="6"/>
    </row>
    <row r="325" ht="51.75" customHeight="1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4"/>
      <c r="Y325" s="5"/>
      <c r="Z325" s="5"/>
      <c r="AA325" s="6"/>
    </row>
    <row r="326" ht="51.75" customHeight="1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4"/>
      <c r="Y326" s="5"/>
      <c r="Z326" s="5"/>
      <c r="AA326" s="6"/>
    </row>
    <row r="327" ht="51.75" customHeight="1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4"/>
      <c r="Y327" s="5"/>
      <c r="Z327" s="5"/>
      <c r="AA327" s="6"/>
    </row>
    <row r="328" ht="51.75" customHeight="1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4"/>
      <c r="Y328" s="5"/>
      <c r="Z328" s="5"/>
      <c r="AA328" s="6"/>
    </row>
    <row r="329" ht="51.75" customHeight="1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4"/>
      <c r="Y329" s="5"/>
      <c r="Z329" s="5"/>
      <c r="AA329" s="6"/>
    </row>
    <row r="330" ht="51.75" customHeight="1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4"/>
      <c r="Y330" s="5"/>
      <c r="Z330" s="5"/>
      <c r="AA330" s="6"/>
    </row>
    <row r="331" ht="51.75" customHeight="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4"/>
      <c r="Y331" s="5"/>
      <c r="Z331" s="5"/>
      <c r="AA331" s="6"/>
    </row>
    <row r="332" ht="51.75" customHeight="1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4"/>
      <c r="Y332" s="5"/>
      <c r="Z332" s="5"/>
      <c r="AA332" s="6"/>
    </row>
    <row r="333" ht="51.75" customHeight="1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4"/>
      <c r="Y333" s="5"/>
      <c r="Z333" s="5"/>
      <c r="AA333" s="6"/>
    </row>
    <row r="334" ht="51.75" customHeight="1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4"/>
      <c r="Y334" s="5"/>
      <c r="Z334" s="5"/>
      <c r="AA334" s="6"/>
    </row>
    <row r="335" ht="51.75" customHeight="1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4"/>
      <c r="Y335" s="5"/>
      <c r="Z335" s="5"/>
      <c r="AA335" s="6"/>
    </row>
    <row r="336" ht="51.75" customHeight="1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4"/>
      <c r="Y336" s="5"/>
      <c r="Z336" s="5"/>
      <c r="AA336" s="6"/>
    </row>
    <row r="337" ht="51.75" customHeight="1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4"/>
      <c r="Y337" s="5"/>
      <c r="Z337" s="5"/>
      <c r="AA337" s="6"/>
    </row>
    <row r="338" ht="51.75" customHeight="1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4"/>
      <c r="Y338" s="5"/>
      <c r="Z338" s="5"/>
      <c r="AA338" s="6"/>
    </row>
    <row r="339" ht="51.75" customHeight="1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4"/>
      <c r="Y339" s="5"/>
      <c r="Z339" s="5"/>
      <c r="AA339" s="6"/>
    </row>
    <row r="340" ht="51.75" customHeight="1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4"/>
      <c r="Y340" s="5"/>
      <c r="Z340" s="5"/>
      <c r="AA340" s="6"/>
    </row>
    <row r="341" ht="51.75" customHeight="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4"/>
      <c r="Y341" s="5"/>
      <c r="Z341" s="5"/>
      <c r="AA341" s="6"/>
    </row>
    <row r="342" ht="51.75" customHeight="1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4"/>
      <c r="Y342" s="5"/>
      <c r="Z342" s="5"/>
      <c r="AA342" s="6"/>
    </row>
    <row r="343" ht="51.75" customHeight="1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4"/>
      <c r="Y343" s="5"/>
      <c r="Z343" s="5"/>
      <c r="AA343" s="6"/>
    </row>
    <row r="344" ht="51.75" customHeight="1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4"/>
      <c r="Y344" s="5"/>
      <c r="Z344" s="5"/>
      <c r="AA344" s="6"/>
    </row>
    <row r="345" ht="51.75" customHeight="1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4"/>
      <c r="Y345" s="5"/>
      <c r="Z345" s="5"/>
      <c r="AA345" s="6"/>
    </row>
    <row r="346" ht="51.75" customHeight="1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4"/>
      <c r="Y346" s="5"/>
      <c r="Z346" s="5"/>
      <c r="AA346" s="6"/>
    </row>
    <row r="347" ht="51.75" customHeight="1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4"/>
      <c r="Y347" s="5"/>
      <c r="Z347" s="5"/>
      <c r="AA347" s="6"/>
    </row>
    <row r="348" ht="51.75" customHeight="1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4"/>
      <c r="Y348" s="5"/>
      <c r="Z348" s="5"/>
      <c r="AA348" s="6"/>
    </row>
    <row r="349" ht="51.75" customHeight="1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4"/>
      <c r="Y349" s="5"/>
      <c r="Z349" s="5"/>
      <c r="AA349" s="6"/>
    </row>
    <row r="350" ht="51.75" customHeight="1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4"/>
      <c r="Y350" s="5"/>
      <c r="Z350" s="5"/>
      <c r="AA350" s="6"/>
    </row>
    <row r="351" ht="51.75" customHeight="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4"/>
      <c r="Y351" s="5"/>
      <c r="Z351" s="5"/>
      <c r="AA351" s="6"/>
    </row>
    <row r="352" ht="51.75" customHeight="1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4"/>
      <c r="Y352" s="5"/>
      <c r="Z352" s="5"/>
      <c r="AA352" s="6"/>
    </row>
    <row r="353" ht="51.75" customHeight="1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4"/>
      <c r="Y353" s="5"/>
      <c r="Z353" s="5"/>
      <c r="AA353" s="6"/>
    </row>
    <row r="354" ht="51.75" customHeight="1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4"/>
      <c r="Y354" s="5"/>
      <c r="Z354" s="5"/>
      <c r="AA354" s="6"/>
    </row>
    <row r="355" ht="51.75" customHeight="1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4"/>
      <c r="Y355" s="5"/>
      <c r="Z355" s="5"/>
      <c r="AA355" s="6"/>
    </row>
    <row r="356" ht="51.75" customHeight="1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4"/>
      <c r="Y356" s="5"/>
      <c r="Z356" s="5"/>
      <c r="AA356" s="6"/>
    </row>
    <row r="357" ht="51.75" customHeight="1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4"/>
      <c r="Y357" s="5"/>
      <c r="Z357" s="5"/>
      <c r="AA357" s="6"/>
    </row>
    <row r="358" ht="51.75" customHeight="1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4"/>
      <c r="Y358" s="5"/>
      <c r="Z358" s="5"/>
      <c r="AA358" s="6"/>
    </row>
    <row r="359" ht="51.75" customHeight="1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4"/>
      <c r="Y359" s="5"/>
      <c r="Z359" s="5"/>
      <c r="AA359" s="6"/>
    </row>
    <row r="360" ht="51.75" customHeight="1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4"/>
      <c r="Y360" s="5"/>
      <c r="Z360" s="5"/>
      <c r="AA360" s="6"/>
    </row>
    <row r="361" ht="51.75" customHeight="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4"/>
      <c r="Y361" s="5"/>
      <c r="Z361" s="5"/>
      <c r="AA361" s="6"/>
    </row>
    <row r="362" ht="51.75" customHeight="1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4"/>
      <c r="Y362" s="5"/>
      <c r="Z362" s="5"/>
      <c r="AA362" s="6"/>
    </row>
    <row r="363" ht="51.75" customHeight="1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4"/>
      <c r="Y363" s="5"/>
      <c r="Z363" s="5"/>
      <c r="AA363" s="6"/>
    </row>
    <row r="364" ht="51.75" customHeight="1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4"/>
      <c r="Y364" s="5"/>
      <c r="Z364" s="5"/>
      <c r="AA364" s="6"/>
    </row>
    <row r="365" ht="51.75" customHeight="1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4"/>
      <c r="Y365" s="5"/>
      <c r="Z365" s="5"/>
      <c r="AA365" s="6"/>
    </row>
    <row r="366" ht="51.75" customHeight="1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4"/>
      <c r="Y366" s="5"/>
      <c r="Z366" s="5"/>
      <c r="AA366" s="6"/>
    </row>
    <row r="367" ht="51.75" customHeight="1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4"/>
      <c r="Y367" s="5"/>
      <c r="Z367" s="5"/>
      <c r="AA367" s="6"/>
    </row>
    <row r="368" ht="51.75" customHeight="1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4"/>
      <c r="Y368" s="5"/>
      <c r="Z368" s="5"/>
      <c r="AA368" s="6"/>
    </row>
    <row r="369" ht="51.75" customHeight="1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4"/>
      <c r="Y369" s="5"/>
      <c r="Z369" s="5"/>
      <c r="AA369" s="6"/>
    </row>
    <row r="370" ht="51.75" customHeight="1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4"/>
      <c r="Y370" s="5"/>
      <c r="Z370" s="5"/>
      <c r="AA370" s="6"/>
    </row>
    <row r="371" ht="51.75" customHeight="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4"/>
      <c r="Y371" s="5"/>
      <c r="Z371" s="5"/>
      <c r="AA371" s="6"/>
    </row>
    <row r="372" ht="51.75" customHeight="1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4"/>
      <c r="Y372" s="5"/>
      <c r="Z372" s="5"/>
      <c r="AA372" s="6"/>
    </row>
    <row r="373" ht="51.75" customHeight="1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4"/>
      <c r="Y373" s="5"/>
      <c r="Z373" s="5"/>
      <c r="AA373" s="6"/>
    </row>
    <row r="374" ht="51.75" customHeight="1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4"/>
      <c r="Y374" s="5"/>
      <c r="Z374" s="5"/>
      <c r="AA374" s="6"/>
    </row>
    <row r="375" ht="51.75" customHeight="1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4"/>
      <c r="Y375" s="5"/>
      <c r="Z375" s="5"/>
      <c r="AA375" s="6"/>
    </row>
    <row r="376" ht="51.75" customHeight="1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4"/>
      <c r="Y376" s="5"/>
      <c r="Z376" s="5"/>
      <c r="AA376" s="6"/>
    </row>
    <row r="377" ht="51.75" customHeight="1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4"/>
      <c r="Y377" s="5"/>
      <c r="Z377" s="5"/>
      <c r="AA377" s="6"/>
    </row>
    <row r="378" ht="51.75" customHeight="1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4"/>
      <c r="Y378" s="5"/>
      <c r="Z378" s="5"/>
      <c r="AA378" s="6"/>
    </row>
    <row r="379" ht="51.75" customHeight="1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4"/>
      <c r="Y379" s="5"/>
      <c r="Z379" s="5"/>
      <c r="AA379" s="6"/>
    </row>
    <row r="380" ht="51.75" customHeight="1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4"/>
      <c r="Y380" s="5"/>
      <c r="Z380" s="5"/>
      <c r="AA380" s="6"/>
    </row>
    <row r="381" ht="51.75" customHeight="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4"/>
      <c r="Y381" s="5"/>
      <c r="Z381" s="5"/>
      <c r="AA381" s="6"/>
    </row>
    <row r="382" ht="51.75" customHeight="1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4"/>
      <c r="Y382" s="5"/>
      <c r="Z382" s="5"/>
      <c r="AA382" s="6"/>
    </row>
    <row r="383" ht="51.75" customHeight="1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4"/>
      <c r="Y383" s="5"/>
      <c r="Z383" s="5"/>
      <c r="AA383" s="6"/>
    </row>
    <row r="384" ht="51.75" customHeight="1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4"/>
      <c r="Y384" s="5"/>
      <c r="Z384" s="5"/>
      <c r="AA384" s="6"/>
    </row>
    <row r="385" ht="51.75" customHeight="1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4"/>
      <c r="Y385" s="5"/>
      <c r="Z385" s="5"/>
      <c r="AA385" s="6"/>
    </row>
    <row r="386" ht="51.75" customHeight="1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4"/>
      <c r="Y386" s="5"/>
      <c r="Z386" s="5"/>
      <c r="AA386" s="6"/>
    </row>
    <row r="387" ht="51.75" customHeight="1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4"/>
      <c r="Y387" s="5"/>
      <c r="Z387" s="5"/>
      <c r="AA387" s="6"/>
    </row>
    <row r="388" ht="51.75" customHeight="1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4"/>
      <c r="Y388" s="5"/>
      <c r="Z388" s="5"/>
      <c r="AA388" s="6"/>
    </row>
    <row r="389" ht="51.75" customHeight="1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4"/>
      <c r="Y389" s="5"/>
      <c r="Z389" s="5"/>
      <c r="AA389" s="6"/>
    </row>
    <row r="390" ht="51.75" customHeight="1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4"/>
      <c r="Y390" s="5"/>
      <c r="Z390" s="5"/>
      <c r="AA390" s="6"/>
    </row>
    <row r="391" ht="51.75" customHeight="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4"/>
      <c r="Y391" s="5"/>
      <c r="Z391" s="5"/>
      <c r="AA391" s="6"/>
    </row>
    <row r="392" ht="51.75" customHeight="1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4"/>
      <c r="Y392" s="5"/>
      <c r="Z392" s="5"/>
      <c r="AA392" s="6"/>
    </row>
    <row r="393" ht="51.75" customHeight="1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4"/>
      <c r="Y393" s="5"/>
      <c r="Z393" s="5"/>
      <c r="AA393" s="6"/>
    </row>
    <row r="394" ht="51.75" customHeight="1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4"/>
      <c r="Y394" s="5"/>
      <c r="Z394" s="5"/>
      <c r="AA394" s="6"/>
    </row>
    <row r="395" ht="51.75" customHeight="1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4"/>
      <c r="Y395" s="5"/>
      <c r="Z395" s="5"/>
      <c r="AA395" s="6"/>
    </row>
    <row r="396" ht="51.75" customHeight="1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4"/>
      <c r="Y396" s="5"/>
      <c r="Z396" s="5"/>
      <c r="AA396" s="6"/>
    </row>
    <row r="397" ht="51.75" customHeight="1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4"/>
      <c r="Y397" s="5"/>
      <c r="Z397" s="5"/>
      <c r="AA397" s="6"/>
    </row>
    <row r="398" ht="51.75" customHeight="1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4"/>
      <c r="Y398" s="5"/>
      <c r="Z398" s="5"/>
      <c r="AA398" s="6"/>
    </row>
    <row r="399" ht="51.75" customHeight="1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4"/>
      <c r="Y399" s="5"/>
      <c r="Z399" s="5"/>
      <c r="AA399" s="6"/>
    </row>
    <row r="400" ht="51.75" customHeight="1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4"/>
      <c r="Y400" s="5"/>
      <c r="Z400" s="5"/>
      <c r="AA400" s="6"/>
    </row>
    <row r="401" ht="51.75" customHeight="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4"/>
      <c r="Y401" s="5"/>
      <c r="Z401" s="5"/>
      <c r="AA401" s="6"/>
    </row>
    <row r="402" ht="51.75" customHeight="1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4"/>
      <c r="Y402" s="5"/>
      <c r="Z402" s="5"/>
      <c r="AA402" s="6"/>
    </row>
    <row r="403" ht="51.75" customHeight="1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4"/>
      <c r="Y403" s="5"/>
      <c r="Z403" s="5"/>
      <c r="AA403" s="6"/>
    </row>
    <row r="404" ht="51.75" customHeight="1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4"/>
      <c r="Y404" s="5"/>
      <c r="Z404" s="5"/>
      <c r="AA404" s="6"/>
    </row>
    <row r="405" ht="51.75" customHeight="1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4"/>
      <c r="Y405" s="5"/>
      <c r="Z405" s="5"/>
      <c r="AA405" s="6"/>
    </row>
    <row r="406" ht="51.75" customHeight="1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4"/>
      <c r="Y406" s="5"/>
      <c r="Z406" s="5"/>
      <c r="AA406" s="6"/>
    </row>
    <row r="407" ht="51.75" customHeight="1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4"/>
      <c r="Y407" s="5"/>
      <c r="Z407" s="5"/>
      <c r="AA407" s="6"/>
    </row>
    <row r="408" ht="51.75" customHeight="1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4"/>
      <c r="Y408" s="5"/>
      <c r="Z408" s="5"/>
      <c r="AA408" s="6"/>
    </row>
    <row r="409" ht="51.75" customHeight="1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4"/>
      <c r="Y409" s="5"/>
      <c r="Z409" s="5"/>
      <c r="AA409" s="6"/>
    </row>
    <row r="410" ht="51.75" customHeight="1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4"/>
      <c r="Y410" s="5"/>
      <c r="Z410" s="5"/>
      <c r="AA410" s="6"/>
    </row>
    <row r="411" ht="51.75" customHeight="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4"/>
      <c r="Y411" s="5"/>
      <c r="Z411" s="5"/>
      <c r="AA411" s="6"/>
    </row>
    <row r="412" ht="51.75" customHeight="1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4"/>
      <c r="Y412" s="5"/>
      <c r="Z412" s="5"/>
      <c r="AA412" s="6"/>
    </row>
    <row r="413" ht="51.75" customHeight="1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4"/>
      <c r="Y413" s="5"/>
      <c r="Z413" s="5"/>
      <c r="AA413" s="6"/>
    </row>
    <row r="414" ht="51.75" customHeight="1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4"/>
      <c r="Y414" s="5"/>
      <c r="Z414" s="5"/>
      <c r="AA414" s="6"/>
    </row>
    <row r="415" ht="51.75" customHeight="1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4"/>
      <c r="Y415" s="5"/>
      <c r="Z415" s="5"/>
      <c r="AA415" s="6"/>
    </row>
    <row r="416" ht="51.75" customHeight="1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4"/>
      <c r="Y416" s="5"/>
      <c r="Z416" s="5"/>
      <c r="AA416" s="6"/>
    </row>
    <row r="417" ht="51.75" customHeight="1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4"/>
      <c r="Y417" s="5"/>
      <c r="Z417" s="5"/>
      <c r="AA417" s="6"/>
    </row>
    <row r="418" ht="51.75" customHeight="1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4"/>
      <c r="Y418" s="5"/>
      <c r="Z418" s="5"/>
      <c r="AA418" s="6"/>
    </row>
    <row r="419" ht="51.75" customHeight="1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4"/>
      <c r="Y419" s="5"/>
      <c r="Z419" s="5"/>
      <c r="AA419" s="6"/>
    </row>
    <row r="420" ht="51.75" customHeight="1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4"/>
      <c r="Y420" s="5"/>
      <c r="Z420" s="5"/>
      <c r="AA420" s="6"/>
    </row>
    <row r="421" ht="51.75" customHeight="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4"/>
      <c r="Y421" s="5"/>
      <c r="Z421" s="5"/>
      <c r="AA421" s="6"/>
    </row>
    <row r="422" ht="51.75" customHeight="1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4"/>
      <c r="Y422" s="5"/>
      <c r="Z422" s="5"/>
      <c r="AA422" s="6"/>
    </row>
    <row r="423" ht="51.75" customHeight="1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4"/>
      <c r="Y423" s="5"/>
      <c r="Z423" s="5"/>
      <c r="AA423" s="6"/>
    </row>
    <row r="424" ht="51.75" customHeight="1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4"/>
      <c r="Y424" s="5"/>
      <c r="Z424" s="5"/>
      <c r="AA424" s="6"/>
    </row>
    <row r="425" ht="51.75" customHeight="1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4"/>
      <c r="Y425" s="5"/>
      <c r="Z425" s="5"/>
      <c r="AA425" s="6"/>
    </row>
    <row r="426" ht="51.75" customHeight="1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4"/>
      <c r="Y426" s="5"/>
      <c r="Z426" s="5"/>
      <c r="AA426" s="6"/>
    </row>
    <row r="427" ht="51.75" customHeight="1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4"/>
      <c r="Y427" s="5"/>
      <c r="Z427" s="5"/>
      <c r="AA427" s="6"/>
    </row>
    <row r="428" ht="51.75" customHeight="1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4"/>
      <c r="Y428" s="5"/>
      <c r="Z428" s="5"/>
      <c r="AA428" s="6"/>
    </row>
    <row r="429" ht="51.75" customHeight="1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4"/>
      <c r="Y429" s="5"/>
      <c r="Z429" s="5"/>
      <c r="AA429" s="6"/>
    </row>
    <row r="430" ht="51.75" customHeight="1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4"/>
      <c r="Y430" s="5"/>
      <c r="Z430" s="5"/>
      <c r="AA430" s="6"/>
    </row>
    <row r="431" ht="51.75" customHeight="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4"/>
      <c r="Y431" s="5"/>
      <c r="Z431" s="5"/>
      <c r="AA431" s="6"/>
    </row>
    <row r="432" ht="51.75" customHeight="1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4"/>
      <c r="Y432" s="5"/>
      <c r="Z432" s="5"/>
      <c r="AA432" s="6"/>
    </row>
    <row r="433" ht="51.75" customHeight="1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4"/>
      <c r="Y433" s="5"/>
      <c r="Z433" s="5"/>
      <c r="AA433" s="6"/>
    </row>
    <row r="434" ht="51.75" customHeight="1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4"/>
      <c r="Y434" s="5"/>
      <c r="Z434" s="5"/>
      <c r="AA434" s="6"/>
    </row>
    <row r="435" ht="51.75" customHeight="1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4"/>
      <c r="Y435" s="5"/>
      <c r="Z435" s="5"/>
      <c r="AA435" s="6"/>
    </row>
    <row r="436" ht="51.75" customHeight="1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4"/>
      <c r="Y436" s="5"/>
      <c r="Z436" s="5"/>
      <c r="AA436" s="6"/>
    </row>
    <row r="437" ht="51.75" customHeight="1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4"/>
      <c r="Y437" s="5"/>
      <c r="Z437" s="5"/>
      <c r="AA437" s="6"/>
    </row>
    <row r="438" ht="51.75" customHeight="1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4"/>
      <c r="Y438" s="5"/>
      <c r="Z438" s="5"/>
      <c r="AA438" s="6"/>
    </row>
    <row r="439" ht="51.75" customHeight="1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4"/>
      <c r="Y439" s="5"/>
      <c r="Z439" s="5"/>
      <c r="AA439" s="6"/>
    </row>
    <row r="440" ht="51.75" customHeight="1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4"/>
      <c r="Y440" s="5"/>
      <c r="Z440" s="5"/>
      <c r="AA440" s="6"/>
    </row>
    <row r="441" ht="51.75" customHeight="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4"/>
      <c r="Y441" s="5"/>
      <c r="Z441" s="5"/>
      <c r="AA441" s="6"/>
    </row>
    <row r="442" ht="51.75" customHeight="1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4"/>
      <c r="Y442" s="5"/>
      <c r="Z442" s="5"/>
      <c r="AA442" s="6"/>
    </row>
    <row r="443" ht="51.75" customHeight="1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4"/>
      <c r="Y443" s="5"/>
      <c r="Z443" s="5"/>
      <c r="AA443" s="6"/>
    </row>
    <row r="444" ht="51.75" customHeight="1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4"/>
      <c r="Y444" s="5"/>
      <c r="Z444" s="5"/>
      <c r="AA444" s="6"/>
    </row>
    <row r="445" ht="51.75" customHeight="1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4"/>
      <c r="Y445" s="5"/>
      <c r="Z445" s="5"/>
      <c r="AA445" s="6"/>
    </row>
    <row r="446" ht="51.75" customHeight="1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4"/>
      <c r="Y446" s="5"/>
      <c r="Z446" s="5"/>
      <c r="AA446" s="6"/>
    </row>
    <row r="447" ht="51.75" customHeight="1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4"/>
      <c r="Y447" s="5"/>
      <c r="Z447" s="5"/>
      <c r="AA447" s="6"/>
    </row>
    <row r="448" ht="51.75" customHeight="1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4"/>
      <c r="Y448" s="5"/>
      <c r="Z448" s="5"/>
      <c r="AA448" s="6"/>
    </row>
    <row r="449" ht="51.75" customHeight="1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4"/>
      <c r="Y449" s="5"/>
      <c r="Z449" s="5"/>
      <c r="AA449" s="6"/>
    </row>
    <row r="450" ht="51.75" customHeight="1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4"/>
      <c r="Y450" s="5"/>
      <c r="Z450" s="5"/>
      <c r="AA450" s="6"/>
    </row>
    <row r="451" ht="51.75" customHeight="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4"/>
      <c r="Y451" s="5"/>
      <c r="Z451" s="5"/>
      <c r="AA451" s="6"/>
    </row>
    <row r="452" ht="51.75" customHeight="1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4"/>
      <c r="Y452" s="5"/>
      <c r="Z452" s="5"/>
      <c r="AA452" s="6"/>
    </row>
    <row r="453" ht="51.75" customHeight="1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4"/>
      <c r="Y453" s="5"/>
      <c r="Z453" s="5"/>
      <c r="AA453" s="6"/>
    </row>
    <row r="454" ht="51.75" customHeight="1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4"/>
      <c r="Y454" s="5"/>
      <c r="Z454" s="5"/>
      <c r="AA454" s="6"/>
    </row>
    <row r="455" ht="51.75" customHeight="1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4"/>
      <c r="Y455" s="5"/>
      <c r="Z455" s="5"/>
      <c r="AA455" s="6"/>
    </row>
    <row r="456" ht="51.75" customHeight="1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4"/>
      <c r="Y456" s="5"/>
      <c r="Z456" s="5"/>
      <c r="AA456" s="6"/>
    </row>
    <row r="457" ht="51.75" customHeight="1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4"/>
      <c r="Y457" s="5"/>
      <c r="Z457" s="5"/>
      <c r="AA457" s="6"/>
    </row>
    <row r="458" ht="51.75" customHeight="1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4"/>
      <c r="Y458" s="5"/>
      <c r="Z458" s="5"/>
      <c r="AA458" s="6"/>
    </row>
    <row r="459" ht="51.75" customHeight="1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4"/>
      <c r="Y459" s="5"/>
      <c r="Z459" s="5"/>
      <c r="AA459" s="6"/>
    </row>
    <row r="460" ht="51.75" customHeight="1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4"/>
      <c r="Y460" s="5"/>
      <c r="Z460" s="5"/>
      <c r="AA460" s="6"/>
    </row>
    <row r="461" ht="51.75" customHeight="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4"/>
      <c r="Y461" s="5"/>
      <c r="Z461" s="5"/>
      <c r="AA461" s="6"/>
    </row>
    <row r="462" ht="51.75" customHeight="1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4"/>
      <c r="Y462" s="5"/>
      <c r="Z462" s="5"/>
      <c r="AA462" s="6"/>
    </row>
    <row r="463" ht="51.75" customHeight="1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4"/>
      <c r="Y463" s="5"/>
      <c r="Z463" s="5"/>
      <c r="AA463" s="6"/>
    </row>
    <row r="464" ht="51.75" customHeight="1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4"/>
      <c r="Y464" s="5"/>
      <c r="Z464" s="5"/>
      <c r="AA464" s="6"/>
    </row>
    <row r="465" ht="51.75" customHeight="1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4"/>
      <c r="Y465" s="5"/>
      <c r="Z465" s="5"/>
      <c r="AA465" s="6"/>
    </row>
    <row r="466" ht="51.75" customHeight="1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4"/>
      <c r="Y466" s="5"/>
      <c r="Z466" s="5"/>
      <c r="AA466" s="6"/>
    </row>
    <row r="467" ht="51.75" customHeight="1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4"/>
      <c r="Y467" s="5"/>
      <c r="Z467" s="5"/>
      <c r="AA467" s="6"/>
    </row>
    <row r="468" ht="51.75" customHeight="1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4"/>
      <c r="Y468" s="5"/>
      <c r="Z468" s="5"/>
      <c r="AA468" s="6"/>
    </row>
    <row r="469" ht="51.75" customHeight="1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4"/>
      <c r="Y469" s="5"/>
      <c r="Z469" s="5"/>
      <c r="AA469" s="6"/>
    </row>
    <row r="470" ht="51.75" customHeight="1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4"/>
      <c r="Y470" s="5"/>
      <c r="Z470" s="5"/>
      <c r="AA470" s="6"/>
    </row>
    <row r="471" ht="51.75" customHeight="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4"/>
      <c r="Y471" s="5"/>
      <c r="Z471" s="5"/>
      <c r="AA471" s="6"/>
    </row>
    <row r="472" ht="51.75" customHeight="1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4"/>
      <c r="Y472" s="5"/>
      <c r="Z472" s="5"/>
      <c r="AA472" s="6"/>
    </row>
    <row r="473" ht="51.75" customHeight="1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4"/>
      <c r="Y473" s="5"/>
      <c r="Z473" s="5"/>
      <c r="AA473" s="6"/>
    </row>
    <row r="474" ht="51.75" customHeight="1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4"/>
      <c r="Y474" s="5"/>
      <c r="Z474" s="5"/>
      <c r="AA474" s="6"/>
    </row>
    <row r="475" ht="51.75" customHeight="1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4"/>
      <c r="Y475" s="5"/>
      <c r="Z475" s="5"/>
      <c r="AA475" s="6"/>
    </row>
    <row r="476" ht="51.75" customHeight="1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4"/>
      <c r="Y476" s="5"/>
      <c r="Z476" s="5"/>
      <c r="AA476" s="6"/>
    </row>
    <row r="477" ht="51.75" customHeight="1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4"/>
      <c r="Y477" s="5"/>
      <c r="Z477" s="5"/>
      <c r="AA477" s="6"/>
    </row>
    <row r="478" ht="51.75" customHeight="1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4"/>
      <c r="Y478" s="5"/>
      <c r="Z478" s="5"/>
      <c r="AA478" s="6"/>
    </row>
    <row r="479" ht="51.75" customHeight="1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4"/>
      <c r="Y479" s="5"/>
      <c r="Z479" s="5"/>
      <c r="AA479" s="6"/>
    </row>
    <row r="480" ht="51.75" customHeight="1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4"/>
      <c r="Y480" s="5"/>
      <c r="Z480" s="5"/>
      <c r="AA480" s="6"/>
    </row>
    <row r="481" ht="51.75" customHeight="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4"/>
      <c r="Y481" s="5"/>
      <c r="Z481" s="5"/>
      <c r="AA481" s="6"/>
    </row>
    <row r="482" ht="51.75" customHeight="1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4"/>
      <c r="Y482" s="5"/>
      <c r="Z482" s="5"/>
      <c r="AA482" s="6"/>
    </row>
    <row r="483" ht="51.75" customHeight="1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4"/>
      <c r="Y483" s="5"/>
      <c r="Z483" s="5"/>
      <c r="AA483" s="6"/>
    </row>
    <row r="484" ht="51.75" customHeight="1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4"/>
      <c r="Y484" s="5"/>
      <c r="Z484" s="5"/>
      <c r="AA484" s="6"/>
    </row>
    <row r="485" ht="51.75" customHeight="1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4"/>
      <c r="Y485" s="5"/>
      <c r="Z485" s="5"/>
      <c r="AA485" s="6"/>
    </row>
    <row r="486" ht="51.75" customHeight="1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4"/>
      <c r="Y486" s="5"/>
      <c r="Z486" s="5"/>
      <c r="AA486" s="6"/>
    </row>
    <row r="487" ht="51.75" customHeight="1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4"/>
      <c r="Y487" s="5"/>
      <c r="Z487" s="5"/>
      <c r="AA487" s="6"/>
    </row>
    <row r="488" ht="51.75" customHeight="1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4"/>
      <c r="Y488" s="5"/>
      <c r="Z488" s="5"/>
      <c r="AA488" s="6"/>
    </row>
    <row r="489" ht="51.75" customHeight="1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4"/>
      <c r="Y489" s="5"/>
      <c r="Z489" s="5"/>
      <c r="AA489" s="6"/>
    </row>
    <row r="490" ht="51.75" customHeight="1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4"/>
      <c r="Y490" s="5"/>
      <c r="Z490" s="5"/>
      <c r="AA490" s="6"/>
    </row>
    <row r="491" ht="51.75" customHeight="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4"/>
      <c r="Y491" s="5"/>
      <c r="Z491" s="5"/>
      <c r="AA491" s="6"/>
    </row>
    <row r="492" ht="51.75" customHeight="1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4"/>
      <c r="Y492" s="5"/>
      <c r="Z492" s="5"/>
      <c r="AA492" s="6"/>
    </row>
    <row r="493" ht="51.75" customHeight="1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4"/>
      <c r="Y493" s="5"/>
      <c r="Z493" s="5"/>
      <c r="AA493" s="6"/>
    </row>
    <row r="494" ht="51.75" customHeight="1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4"/>
      <c r="Y494" s="5"/>
      <c r="Z494" s="5"/>
      <c r="AA494" s="6"/>
    </row>
    <row r="495" ht="51.75" customHeight="1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4"/>
      <c r="Y495" s="5"/>
      <c r="Z495" s="5"/>
      <c r="AA495" s="6"/>
    </row>
    <row r="496" ht="51.75" customHeight="1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4"/>
      <c r="Y496" s="5"/>
      <c r="Z496" s="5"/>
      <c r="AA496" s="6"/>
    </row>
    <row r="497" ht="51.75" customHeight="1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4"/>
      <c r="Y497" s="5"/>
      <c r="Z497" s="5"/>
      <c r="AA497" s="6"/>
    </row>
    <row r="498" ht="51.75" customHeight="1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4"/>
      <c r="Y498" s="5"/>
      <c r="Z498" s="5"/>
      <c r="AA498" s="6"/>
    </row>
    <row r="499" ht="51.75" customHeight="1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4"/>
      <c r="Y499" s="5"/>
      <c r="Z499" s="5"/>
      <c r="AA499" s="6"/>
    </row>
    <row r="500" ht="51.75" customHeight="1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4"/>
      <c r="Y500" s="5"/>
      <c r="Z500" s="5"/>
      <c r="AA500" s="6"/>
    </row>
    <row r="501" ht="51.75" customHeight="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4"/>
      <c r="Y501" s="5"/>
      <c r="Z501" s="5"/>
      <c r="AA501" s="6"/>
    </row>
    <row r="502" ht="51.75" customHeight="1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4"/>
      <c r="Y502" s="5"/>
      <c r="Z502" s="5"/>
      <c r="AA502" s="6"/>
    </row>
    <row r="503" ht="51.75" customHeight="1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4"/>
      <c r="Y503" s="5"/>
      <c r="Z503" s="5"/>
      <c r="AA503" s="6"/>
    </row>
    <row r="504" ht="51.75" customHeight="1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4"/>
      <c r="Y504" s="5"/>
      <c r="Z504" s="5"/>
      <c r="AA504" s="6"/>
    </row>
    <row r="505" ht="51.75" customHeight="1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4"/>
      <c r="Y505" s="5"/>
      <c r="Z505" s="5"/>
      <c r="AA505" s="6"/>
    </row>
    <row r="506" ht="51.75" customHeight="1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4"/>
      <c r="Y506" s="5"/>
      <c r="Z506" s="5"/>
      <c r="AA506" s="6"/>
    </row>
    <row r="507" ht="51.75" customHeight="1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4"/>
      <c r="Y507" s="5"/>
      <c r="Z507" s="5"/>
      <c r="AA507" s="6"/>
    </row>
    <row r="508" ht="51.75" customHeight="1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4"/>
      <c r="Y508" s="5"/>
      <c r="Z508" s="5"/>
      <c r="AA508" s="6"/>
    </row>
    <row r="509" ht="51.75" customHeight="1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4"/>
      <c r="Y509" s="5"/>
      <c r="Z509" s="5"/>
      <c r="AA509" s="6"/>
    </row>
    <row r="510" ht="51.75" customHeight="1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4"/>
      <c r="Y510" s="5"/>
      <c r="Z510" s="5"/>
      <c r="AA510" s="6"/>
    </row>
    <row r="511" ht="51.75" customHeight="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4"/>
      <c r="Y511" s="5"/>
      <c r="Z511" s="5"/>
      <c r="AA511" s="6"/>
    </row>
    <row r="512" ht="51.75" customHeight="1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4"/>
      <c r="Y512" s="5"/>
      <c r="Z512" s="5"/>
      <c r="AA512" s="6"/>
    </row>
    <row r="513" ht="51.75" customHeight="1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4"/>
      <c r="Y513" s="5"/>
      <c r="Z513" s="5"/>
      <c r="AA513" s="6"/>
    </row>
    <row r="514" ht="51.75" customHeight="1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4"/>
      <c r="Y514" s="5"/>
      <c r="Z514" s="5"/>
      <c r="AA514" s="6"/>
    </row>
    <row r="515" ht="51.75" customHeight="1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4"/>
      <c r="Y515" s="5"/>
      <c r="Z515" s="5"/>
      <c r="AA515" s="6"/>
    </row>
    <row r="516" ht="51.75" customHeight="1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4"/>
      <c r="Y516" s="5"/>
      <c r="Z516" s="5"/>
      <c r="AA516" s="6"/>
    </row>
    <row r="517" ht="51.75" customHeight="1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4"/>
      <c r="Y517" s="5"/>
      <c r="Z517" s="5"/>
      <c r="AA517" s="6"/>
    </row>
    <row r="518" ht="51.75" customHeight="1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4"/>
      <c r="Y518" s="5"/>
      <c r="Z518" s="5"/>
      <c r="AA518" s="6"/>
    </row>
    <row r="519" ht="51.75" customHeight="1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4"/>
      <c r="Y519" s="5"/>
      <c r="Z519" s="5"/>
      <c r="AA519" s="6"/>
    </row>
    <row r="520" ht="51.75" customHeight="1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4"/>
      <c r="Y520" s="5"/>
      <c r="Z520" s="5"/>
      <c r="AA520" s="6"/>
    </row>
    <row r="521" ht="51.75" customHeight="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4"/>
      <c r="Y521" s="5"/>
      <c r="Z521" s="5"/>
      <c r="AA521" s="6"/>
    </row>
    <row r="522" ht="51.75" customHeight="1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4"/>
      <c r="Y522" s="5"/>
      <c r="Z522" s="5"/>
      <c r="AA522" s="6"/>
    </row>
    <row r="523" ht="51.75" customHeight="1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4"/>
      <c r="Y523" s="5"/>
      <c r="Z523" s="5"/>
      <c r="AA523" s="6"/>
    </row>
    <row r="524" ht="51.75" customHeight="1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4"/>
      <c r="Y524" s="5"/>
      <c r="Z524" s="5"/>
      <c r="AA524" s="6"/>
    </row>
    <row r="525" ht="51.75" customHeight="1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4"/>
      <c r="Y525" s="5"/>
      <c r="Z525" s="5"/>
      <c r="AA525" s="6"/>
    </row>
    <row r="526" ht="51.75" customHeight="1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4"/>
      <c r="Y526" s="5"/>
      <c r="Z526" s="5"/>
      <c r="AA526" s="6"/>
    </row>
    <row r="527" ht="51.75" customHeight="1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4"/>
      <c r="Y527" s="5"/>
      <c r="Z527" s="5"/>
      <c r="AA527" s="6"/>
    </row>
    <row r="528" ht="51.75" customHeight="1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4"/>
      <c r="Y528" s="5"/>
      <c r="Z528" s="5"/>
      <c r="AA528" s="6"/>
    </row>
    <row r="529" ht="51.75" customHeight="1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4"/>
      <c r="Y529" s="5"/>
      <c r="Z529" s="5"/>
      <c r="AA529" s="6"/>
    </row>
    <row r="530" ht="51.75" customHeight="1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4"/>
      <c r="Y530" s="5"/>
      <c r="Z530" s="5"/>
      <c r="AA530" s="6"/>
    </row>
    <row r="531" ht="51.75" customHeight="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4"/>
      <c r="Y531" s="5"/>
      <c r="Z531" s="5"/>
      <c r="AA531" s="6"/>
    </row>
    <row r="532" ht="51.75" customHeight="1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4"/>
      <c r="Y532" s="5"/>
      <c r="Z532" s="5"/>
      <c r="AA532" s="6"/>
    </row>
    <row r="533" ht="51.75" customHeight="1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4"/>
      <c r="Y533" s="5"/>
      <c r="Z533" s="5"/>
      <c r="AA533" s="6"/>
    </row>
    <row r="534" ht="51.75" customHeight="1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4"/>
      <c r="Y534" s="5"/>
      <c r="Z534" s="5"/>
      <c r="AA534" s="6"/>
    </row>
    <row r="535" ht="51.75" customHeight="1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4"/>
      <c r="Y535" s="5"/>
      <c r="Z535" s="5"/>
      <c r="AA535" s="6"/>
    </row>
    <row r="536" ht="51.75" customHeight="1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4"/>
      <c r="Y536" s="5"/>
      <c r="Z536" s="5"/>
      <c r="AA536" s="6"/>
    </row>
    <row r="537" ht="51.75" customHeight="1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4"/>
      <c r="Y537" s="5"/>
      <c r="Z537" s="5"/>
      <c r="AA537" s="6"/>
    </row>
    <row r="538" ht="51.75" customHeight="1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4"/>
      <c r="Y538" s="5"/>
      <c r="Z538" s="5"/>
      <c r="AA538" s="6"/>
    </row>
    <row r="539" ht="51.75" customHeight="1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4"/>
      <c r="Y539" s="5"/>
      <c r="Z539" s="5"/>
      <c r="AA539" s="6"/>
    </row>
    <row r="540" ht="51.75" customHeight="1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4"/>
      <c r="Y540" s="5"/>
      <c r="Z540" s="5"/>
      <c r="AA540" s="6"/>
    </row>
    <row r="541" ht="51.75" customHeight="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4"/>
      <c r="Y541" s="5"/>
      <c r="Z541" s="5"/>
      <c r="AA541" s="6"/>
    </row>
    <row r="542" ht="51.75" customHeight="1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4"/>
      <c r="Y542" s="5"/>
      <c r="Z542" s="5"/>
      <c r="AA542" s="6"/>
    </row>
    <row r="543" ht="51.75" customHeight="1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4"/>
      <c r="Y543" s="5"/>
      <c r="Z543" s="5"/>
      <c r="AA543" s="6"/>
    </row>
    <row r="544" ht="51.75" customHeight="1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4"/>
      <c r="Y544" s="5"/>
      <c r="Z544" s="5"/>
      <c r="AA544" s="6"/>
    </row>
    <row r="545" ht="51.75" customHeight="1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4"/>
      <c r="Y545" s="5"/>
      <c r="Z545" s="5"/>
      <c r="AA545" s="6"/>
    </row>
    <row r="546" ht="51.75" customHeight="1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4"/>
      <c r="Y546" s="5"/>
      <c r="Z546" s="5"/>
      <c r="AA546" s="6"/>
    </row>
    <row r="547" ht="51.75" customHeight="1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4"/>
      <c r="Y547" s="5"/>
      <c r="Z547" s="5"/>
      <c r="AA547" s="6"/>
    </row>
    <row r="548" ht="51.75" customHeight="1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4"/>
      <c r="Y548" s="5"/>
      <c r="Z548" s="5"/>
      <c r="AA548" s="6"/>
    </row>
    <row r="549" ht="51.75" customHeight="1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4"/>
      <c r="Y549" s="5"/>
      <c r="Z549" s="5"/>
      <c r="AA549" s="6"/>
    </row>
    <row r="550" ht="51.75" customHeight="1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4"/>
      <c r="Y550" s="5"/>
      <c r="Z550" s="5"/>
      <c r="AA550" s="6"/>
    </row>
    <row r="551" ht="51.75" customHeight="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4"/>
      <c r="Y551" s="5"/>
      <c r="Z551" s="5"/>
      <c r="AA551" s="6"/>
    </row>
    <row r="552" ht="51.75" customHeight="1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4"/>
      <c r="Y552" s="5"/>
      <c r="Z552" s="5"/>
      <c r="AA552" s="6"/>
    </row>
    <row r="553" ht="51.75" customHeight="1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4"/>
      <c r="Y553" s="5"/>
      <c r="Z553" s="5"/>
      <c r="AA553" s="6"/>
    </row>
    <row r="554" ht="51.75" customHeight="1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4"/>
      <c r="Y554" s="5"/>
      <c r="Z554" s="5"/>
      <c r="AA554" s="6"/>
    </row>
    <row r="555" ht="51.75" customHeight="1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4"/>
      <c r="Y555" s="5"/>
      <c r="Z555" s="5"/>
      <c r="AA555" s="6"/>
    </row>
    <row r="556" ht="51.75" customHeight="1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4"/>
      <c r="Y556" s="5"/>
      <c r="Z556" s="5"/>
      <c r="AA556" s="6"/>
    </row>
    <row r="557" ht="51.75" customHeight="1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4"/>
      <c r="Y557" s="5"/>
      <c r="Z557" s="5"/>
      <c r="AA557" s="6"/>
    </row>
    <row r="558" ht="51.75" customHeight="1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4"/>
      <c r="Y558" s="5"/>
      <c r="Z558" s="5"/>
      <c r="AA558" s="6"/>
    </row>
    <row r="559" ht="51.75" customHeight="1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4"/>
      <c r="Y559" s="5"/>
      <c r="Z559" s="5"/>
      <c r="AA559" s="6"/>
    </row>
    <row r="560" ht="51.75" customHeight="1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4"/>
      <c r="Y560" s="5"/>
      <c r="Z560" s="5"/>
      <c r="AA560" s="6"/>
    </row>
    <row r="561" ht="51.75" customHeight="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4"/>
      <c r="Y561" s="5"/>
      <c r="Z561" s="5"/>
      <c r="AA561" s="6"/>
    </row>
    <row r="562" ht="51.75" customHeight="1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4"/>
      <c r="Y562" s="5"/>
      <c r="Z562" s="5"/>
      <c r="AA562" s="6"/>
    </row>
    <row r="563" ht="51.75" customHeight="1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4"/>
      <c r="Y563" s="5"/>
      <c r="Z563" s="5"/>
      <c r="AA563" s="6"/>
    </row>
    <row r="564" ht="51.75" customHeight="1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4"/>
      <c r="Y564" s="5"/>
      <c r="Z564" s="5"/>
      <c r="AA564" s="6"/>
    </row>
    <row r="565" ht="51.75" customHeight="1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4"/>
      <c r="Y565" s="5"/>
      <c r="Z565" s="5"/>
      <c r="AA565" s="6"/>
    </row>
    <row r="566" ht="51.75" customHeight="1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4"/>
      <c r="Y566" s="5"/>
      <c r="Z566" s="5"/>
      <c r="AA566" s="6"/>
    </row>
    <row r="567" ht="51.75" customHeight="1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4"/>
      <c r="Y567" s="5"/>
      <c r="Z567" s="5"/>
      <c r="AA567" s="6"/>
    </row>
    <row r="568" ht="51.75" customHeight="1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4"/>
      <c r="Y568" s="5"/>
      <c r="Z568" s="5"/>
      <c r="AA568" s="6"/>
    </row>
    <row r="569" ht="51.75" customHeight="1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4"/>
      <c r="Y569" s="5"/>
      <c r="Z569" s="5"/>
      <c r="AA569" s="6"/>
    </row>
    <row r="570" ht="51.75" customHeight="1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4"/>
      <c r="Y570" s="5"/>
      <c r="Z570" s="5"/>
      <c r="AA570" s="6"/>
    </row>
    <row r="571" ht="51.75" customHeight="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4"/>
      <c r="Y571" s="5"/>
      <c r="Z571" s="5"/>
      <c r="AA571" s="6"/>
    </row>
    <row r="572" ht="51.75" customHeight="1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4"/>
      <c r="Y572" s="5"/>
      <c r="Z572" s="5"/>
      <c r="AA572" s="6"/>
    </row>
    <row r="573" ht="51.75" customHeight="1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4"/>
      <c r="Y573" s="5"/>
      <c r="Z573" s="5"/>
      <c r="AA573" s="6"/>
    </row>
    <row r="574" ht="51.75" customHeight="1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4"/>
      <c r="Y574" s="5"/>
      <c r="Z574" s="5"/>
      <c r="AA574" s="6"/>
    </row>
    <row r="575" ht="51.75" customHeight="1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4"/>
      <c r="Y575" s="5"/>
      <c r="Z575" s="5"/>
      <c r="AA575" s="6"/>
    </row>
    <row r="576" ht="51.75" customHeight="1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4"/>
      <c r="Y576" s="5"/>
      <c r="Z576" s="5"/>
      <c r="AA576" s="6"/>
    </row>
    <row r="577" ht="51.75" customHeight="1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4"/>
      <c r="Y577" s="5"/>
      <c r="Z577" s="5"/>
      <c r="AA577" s="6"/>
    </row>
    <row r="578" ht="51.75" customHeight="1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4"/>
      <c r="Y578" s="5"/>
      <c r="Z578" s="5"/>
      <c r="AA578" s="6"/>
    </row>
    <row r="579" ht="51.75" customHeight="1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4"/>
      <c r="Y579" s="5"/>
      <c r="Z579" s="5"/>
      <c r="AA579" s="6"/>
    </row>
    <row r="580" ht="51.75" customHeight="1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4"/>
      <c r="Y580" s="5"/>
      <c r="Z580" s="5"/>
      <c r="AA580" s="6"/>
    </row>
    <row r="581" ht="51.75" customHeight="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4"/>
      <c r="Y581" s="5"/>
      <c r="Z581" s="5"/>
      <c r="AA581" s="6"/>
    </row>
    <row r="582" ht="51.75" customHeight="1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4"/>
      <c r="Y582" s="5"/>
      <c r="Z582" s="5"/>
      <c r="AA582" s="6"/>
    </row>
    <row r="583" ht="51.75" customHeight="1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4"/>
      <c r="Y583" s="5"/>
      <c r="Z583" s="5"/>
      <c r="AA583" s="6"/>
    </row>
    <row r="584" ht="51.75" customHeight="1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4"/>
      <c r="Y584" s="5"/>
      <c r="Z584" s="5"/>
      <c r="AA584" s="6"/>
    </row>
    <row r="585" ht="51.75" customHeight="1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4"/>
      <c r="Y585" s="5"/>
      <c r="Z585" s="5"/>
      <c r="AA585" s="6"/>
    </row>
    <row r="586" ht="51.75" customHeight="1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4"/>
      <c r="Y586" s="5"/>
      <c r="Z586" s="5"/>
      <c r="AA586" s="6"/>
    </row>
    <row r="587" ht="51.75" customHeight="1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4"/>
      <c r="Y587" s="5"/>
      <c r="Z587" s="5"/>
      <c r="AA587" s="6"/>
    </row>
    <row r="588" ht="51.75" customHeight="1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4"/>
      <c r="Y588" s="5"/>
      <c r="Z588" s="5"/>
      <c r="AA588" s="6"/>
    </row>
    <row r="589" ht="51.75" customHeight="1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4"/>
      <c r="Y589" s="5"/>
      <c r="Z589" s="5"/>
      <c r="AA589" s="6"/>
    </row>
    <row r="590" ht="51.75" customHeight="1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4"/>
      <c r="Y590" s="5"/>
      <c r="Z590" s="5"/>
      <c r="AA590" s="6"/>
    </row>
    <row r="591" ht="51.75" customHeight="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4"/>
      <c r="Y591" s="5"/>
      <c r="Z591" s="5"/>
      <c r="AA591" s="6"/>
    </row>
    <row r="592" ht="51.75" customHeight="1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4"/>
      <c r="Y592" s="5"/>
      <c r="Z592" s="5"/>
      <c r="AA592" s="6"/>
    </row>
    <row r="593" ht="51.75" customHeight="1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4"/>
      <c r="Y593" s="5"/>
      <c r="Z593" s="5"/>
      <c r="AA593" s="6"/>
    </row>
    <row r="594" ht="51.75" customHeight="1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4"/>
      <c r="Y594" s="5"/>
      <c r="Z594" s="5"/>
      <c r="AA594" s="6"/>
    </row>
    <row r="595" ht="51.75" customHeight="1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4"/>
      <c r="Y595" s="5"/>
      <c r="Z595" s="5"/>
      <c r="AA595" s="6"/>
    </row>
    <row r="596" ht="51.75" customHeight="1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4"/>
      <c r="Y596" s="5"/>
      <c r="Z596" s="5"/>
      <c r="AA596" s="6"/>
    </row>
    <row r="597" ht="51.75" customHeight="1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4"/>
      <c r="Y597" s="5"/>
      <c r="Z597" s="5"/>
      <c r="AA597" s="6"/>
    </row>
    <row r="598" ht="51.75" customHeight="1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4"/>
      <c r="Y598" s="5"/>
      <c r="Z598" s="5"/>
      <c r="AA598" s="6"/>
    </row>
    <row r="599" ht="51.75" customHeight="1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4"/>
      <c r="Y599" s="5"/>
      <c r="Z599" s="5"/>
      <c r="AA599" s="6"/>
    </row>
    <row r="600" ht="51.75" customHeight="1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4"/>
      <c r="Y600" s="5"/>
      <c r="Z600" s="5"/>
      <c r="AA600" s="6"/>
    </row>
    <row r="601" ht="51.75" customHeight="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4"/>
      <c r="Y601" s="5"/>
      <c r="Z601" s="5"/>
      <c r="AA601" s="6"/>
    </row>
    <row r="602" ht="51.75" customHeight="1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4"/>
      <c r="Y602" s="5"/>
      <c r="Z602" s="5"/>
      <c r="AA602" s="6"/>
    </row>
    <row r="603" ht="51.75" customHeight="1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4"/>
      <c r="Y603" s="5"/>
      <c r="Z603" s="5"/>
      <c r="AA603" s="6"/>
    </row>
    <row r="604" ht="51.75" customHeight="1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4"/>
      <c r="Y604" s="5"/>
      <c r="Z604" s="5"/>
      <c r="AA604" s="6"/>
    </row>
    <row r="605" ht="51.75" customHeight="1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4"/>
      <c r="Y605" s="5"/>
      <c r="Z605" s="5"/>
      <c r="AA605" s="6"/>
    </row>
    <row r="606" ht="51.75" customHeight="1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4"/>
      <c r="Y606" s="5"/>
      <c r="Z606" s="5"/>
      <c r="AA606" s="6"/>
    </row>
    <row r="607" ht="51.75" customHeight="1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4"/>
      <c r="Y607" s="5"/>
      <c r="Z607" s="5"/>
      <c r="AA607" s="6"/>
    </row>
    <row r="608" ht="51.75" customHeight="1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4"/>
      <c r="Y608" s="5"/>
      <c r="Z608" s="5"/>
      <c r="AA608" s="6"/>
    </row>
    <row r="609" ht="51.75" customHeight="1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4"/>
      <c r="Y609" s="5"/>
      <c r="Z609" s="5"/>
      <c r="AA609" s="6"/>
    </row>
    <row r="610" ht="51.75" customHeight="1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4"/>
      <c r="Y610" s="5"/>
      <c r="Z610" s="5"/>
      <c r="AA610" s="6"/>
    </row>
    <row r="611" ht="51.75" customHeight="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4"/>
      <c r="Y611" s="5"/>
      <c r="Z611" s="5"/>
      <c r="AA611" s="6"/>
    </row>
    <row r="612" ht="51.75" customHeight="1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4"/>
      <c r="Y612" s="5"/>
      <c r="Z612" s="5"/>
      <c r="AA612" s="6"/>
    </row>
    <row r="613" ht="51.75" customHeight="1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4"/>
      <c r="Y613" s="5"/>
      <c r="Z613" s="5"/>
      <c r="AA613" s="6"/>
    </row>
    <row r="614" ht="51.75" customHeight="1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4"/>
      <c r="Y614" s="5"/>
      <c r="Z614" s="5"/>
      <c r="AA614" s="6"/>
    </row>
    <row r="615" ht="51.75" customHeight="1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4"/>
      <c r="Y615" s="5"/>
      <c r="Z615" s="5"/>
      <c r="AA615" s="6"/>
    </row>
    <row r="616" ht="51.75" customHeight="1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4"/>
      <c r="Y616" s="5"/>
      <c r="Z616" s="5"/>
      <c r="AA616" s="6"/>
    </row>
    <row r="617" ht="51.75" customHeight="1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4"/>
      <c r="Y617" s="5"/>
      <c r="Z617" s="5"/>
      <c r="AA617" s="6"/>
    </row>
    <row r="618" ht="51.75" customHeight="1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4"/>
      <c r="Y618" s="5"/>
      <c r="Z618" s="5"/>
      <c r="AA618" s="6"/>
    </row>
    <row r="619" ht="51.75" customHeight="1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4"/>
      <c r="Y619" s="5"/>
      <c r="Z619" s="5"/>
      <c r="AA619" s="6"/>
    </row>
    <row r="620" ht="51.75" customHeight="1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4"/>
      <c r="Y620" s="5"/>
      <c r="Z620" s="5"/>
      <c r="AA620" s="6"/>
    </row>
    <row r="621" ht="51.75" customHeight="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4"/>
      <c r="Y621" s="5"/>
      <c r="Z621" s="5"/>
      <c r="AA621" s="6"/>
    </row>
    <row r="622" ht="51.75" customHeight="1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4"/>
      <c r="Y622" s="5"/>
      <c r="Z622" s="5"/>
      <c r="AA622" s="6"/>
    </row>
    <row r="623" ht="51.75" customHeight="1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4"/>
      <c r="Y623" s="5"/>
      <c r="Z623" s="5"/>
      <c r="AA623" s="6"/>
    </row>
    <row r="624" ht="51.75" customHeight="1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4"/>
      <c r="Y624" s="5"/>
      <c r="Z624" s="5"/>
      <c r="AA624" s="6"/>
    </row>
    <row r="625" ht="51.75" customHeight="1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4"/>
      <c r="Y625" s="5"/>
      <c r="Z625" s="5"/>
      <c r="AA625" s="6"/>
    </row>
    <row r="626" ht="51.75" customHeight="1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4"/>
      <c r="Y626" s="5"/>
      <c r="Z626" s="5"/>
      <c r="AA626" s="6"/>
    </row>
    <row r="627" ht="51.75" customHeight="1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4"/>
      <c r="Y627" s="5"/>
      <c r="Z627" s="5"/>
      <c r="AA627" s="6"/>
    </row>
    <row r="628" ht="51.75" customHeight="1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4"/>
      <c r="Y628" s="5"/>
      <c r="Z628" s="5"/>
      <c r="AA628" s="6"/>
    </row>
    <row r="629" ht="51.75" customHeight="1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4"/>
      <c r="Y629" s="5"/>
      <c r="Z629" s="5"/>
      <c r="AA629" s="6"/>
    </row>
    <row r="630" ht="51.75" customHeight="1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4"/>
      <c r="Y630" s="5"/>
      <c r="Z630" s="5"/>
      <c r="AA630" s="6"/>
    </row>
    <row r="631" ht="51.75" customHeight="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4"/>
      <c r="Y631" s="5"/>
      <c r="Z631" s="5"/>
      <c r="AA631" s="6"/>
    </row>
    <row r="632" ht="51.75" customHeight="1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4"/>
      <c r="Y632" s="5"/>
      <c r="Z632" s="5"/>
      <c r="AA632" s="6"/>
    </row>
    <row r="633" ht="51.75" customHeight="1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4"/>
      <c r="Y633" s="5"/>
      <c r="Z633" s="5"/>
      <c r="AA633" s="6"/>
    </row>
    <row r="634" ht="51.75" customHeight="1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4"/>
      <c r="Y634" s="5"/>
      <c r="Z634" s="5"/>
      <c r="AA634" s="6"/>
    </row>
    <row r="635" ht="51.75" customHeight="1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4"/>
      <c r="Y635" s="5"/>
      <c r="Z635" s="5"/>
      <c r="AA635" s="6"/>
    </row>
    <row r="636" ht="51.75" customHeight="1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4"/>
      <c r="Y636" s="5"/>
      <c r="Z636" s="5"/>
      <c r="AA636" s="6"/>
    </row>
    <row r="637" ht="51.75" customHeight="1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4"/>
      <c r="Y637" s="5"/>
      <c r="Z637" s="5"/>
      <c r="AA637" s="6"/>
    </row>
    <row r="638" ht="51.75" customHeight="1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4"/>
      <c r="Y638" s="5"/>
      <c r="Z638" s="5"/>
      <c r="AA638" s="6"/>
    </row>
    <row r="639" ht="51.75" customHeight="1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4"/>
      <c r="Y639" s="5"/>
      <c r="Z639" s="5"/>
      <c r="AA639" s="6"/>
    </row>
    <row r="640" ht="51.75" customHeight="1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4"/>
      <c r="Y640" s="5"/>
      <c r="Z640" s="5"/>
      <c r="AA640" s="6"/>
    </row>
    <row r="641" ht="51.75" customHeight="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4"/>
      <c r="Y641" s="5"/>
      <c r="Z641" s="5"/>
      <c r="AA641" s="6"/>
    </row>
    <row r="642" ht="51.75" customHeight="1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4"/>
      <c r="Y642" s="5"/>
      <c r="Z642" s="5"/>
      <c r="AA642" s="6"/>
    </row>
    <row r="643" ht="51.75" customHeight="1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4"/>
      <c r="Y643" s="5"/>
      <c r="Z643" s="5"/>
      <c r="AA643" s="6"/>
    </row>
    <row r="644" ht="51.75" customHeight="1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4"/>
      <c r="Y644" s="5"/>
      <c r="Z644" s="5"/>
      <c r="AA644" s="6"/>
    </row>
    <row r="645" ht="51.75" customHeight="1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4"/>
      <c r="Y645" s="5"/>
      <c r="Z645" s="5"/>
      <c r="AA645" s="6"/>
    </row>
    <row r="646" ht="51.75" customHeight="1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4"/>
      <c r="Y646" s="5"/>
      <c r="Z646" s="5"/>
      <c r="AA646" s="6"/>
    </row>
    <row r="647" ht="51.75" customHeight="1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4"/>
      <c r="Y647" s="5"/>
      <c r="Z647" s="5"/>
      <c r="AA647" s="6"/>
    </row>
    <row r="648" ht="51.75" customHeight="1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4"/>
      <c r="Y648" s="5"/>
      <c r="Z648" s="5"/>
      <c r="AA648" s="6"/>
    </row>
    <row r="649" ht="51.75" customHeight="1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4"/>
      <c r="Y649" s="5"/>
      <c r="Z649" s="5"/>
      <c r="AA649" s="6"/>
    </row>
    <row r="650" ht="51.75" customHeight="1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4"/>
      <c r="Y650" s="5"/>
      <c r="Z650" s="5"/>
      <c r="AA650" s="6"/>
    </row>
    <row r="651" ht="51.75" customHeight="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4"/>
      <c r="Y651" s="5"/>
      <c r="Z651" s="5"/>
      <c r="AA651" s="6"/>
    </row>
    <row r="652" ht="51.75" customHeight="1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4"/>
      <c r="Y652" s="5"/>
      <c r="Z652" s="5"/>
      <c r="AA652" s="6"/>
    </row>
    <row r="653" ht="51.75" customHeight="1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4"/>
      <c r="Y653" s="5"/>
      <c r="Z653" s="5"/>
      <c r="AA653" s="6"/>
    </row>
    <row r="654" ht="51.75" customHeight="1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4"/>
      <c r="Y654" s="5"/>
      <c r="Z654" s="5"/>
      <c r="AA654" s="6"/>
    </row>
    <row r="655" ht="51.75" customHeight="1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4"/>
      <c r="Y655" s="5"/>
      <c r="Z655" s="5"/>
      <c r="AA655" s="6"/>
    </row>
    <row r="656" ht="51.75" customHeight="1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4"/>
      <c r="Y656" s="5"/>
      <c r="Z656" s="5"/>
      <c r="AA656" s="6"/>
    </row>
    <row r="657" ht="51.75" customHeight="1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4"/>
      <c r="Y657" s="5"/>
      <c r="Z657" s="5"/>
      <c r="AA657" s="6"/>
    </row>
    <row r="658" ht="51.75" customHeight="1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4"/>
      <c r="Y658" s="5"/>
      <c r="Z658" s="5"/>
      <c r="AA658" s="6"/>
    </row>
    <row r="659" ht="51.75" customHeight="1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4"/>
      <c r="Y659" s="5"/>
      <c r="Z659" s="5"/>
      <c r="AA659" s="6"/>
    </row>
    <row r="660" ht="51.75" customHeight="1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4"/>
      <c r="Y660" s="5"/>
      <c r="Z660" s="5"/>
      <c r="AA660" s="6"/>
    </row>
    <row r="661" ht="51.75" customHeight="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4"/>
      <c r="Y661" s="5"/>
      <c r="Z661" s="5"/>
      <c r="AA661" s="6"/>
    </row>
    <row r="662" ht="51.75" customHeight="1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4"/>
      <c r="Y662" s="5"/>
      <c r="Z662" s="5"/>
      <c r="AA662" s="6"/>
    </row>
    <row r="663" ht="51.75" customHeight="1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4"/>
      <c r="Y663" s="5"/>
      <c r="Z663" s="5"/>
      <c r="AA663" s="6"/>
    </row>
    <row r="664" ht="51.75" customHeight="1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4"/>
      <c r="Y664" s="5"/>
      <c r="Z664" s="5"/>
      <c r="AA664" s="6"/>
    </row>
    <row r="665" ht="51.75" customHeight="1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4"/>
      <c r="Y665" s="5"/>
      <c r="Z665" s="5"/>
      <c r="AA665" s="6"/>
    </row>
    <row r="666" ht="51.75" customHeight="1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4"/>
      <c r="Y666" s="5"/>
      <c r="Z666" s="5"/>
      <c r="AA666" s="6"/>
    </row>
    <row r="667" ht="51.75" customHeight="1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4"/>
      <c r="Y667" s="5"/>
      <c r="Z667" s="5"/>
      <c r="AA667" s="6"/>
    </row>
    <row r="668" ht="51.75" customHeight="1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4"/>
      <c r="Y668" s="5"/>
      <c r="Z668" s="5"/>
      <c r="AA668" s="6"/>
    </row>
    <row r="669" ht="51.75" customHeight="1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4"/>
      <c r="Y669" s="5"/>
      <c r="Z669" s="5"/>
      <c r="AA669" s="6"/>
    </row>
    <row r="670" ht="51.75" customHeight="1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4"/>
      <c r="Y670" s="5"/>
      <c r="Z670" s="5"/>
      <c r="AA670" s="6"/>
    </row>
    <row r="671" ht="51.75" customHeight="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4"/>
      <c r="Y671" s="5"/>
      <c r="Z671" s="5"/>
      <c r="AA671" s="6"/>
    </row>
    <row r="672" ht="51.75" customHeight="1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4"/>
      <c r="Y672" s="5"/>
      <c r="Z672" s="5"/>
      <c r="AA672" s="6"/>
    </row>
    <row r="673" ht="51.75" customHeight="1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4"/>
      <c r="Y673" s="5"/>
      <c r="Z673" s="5"/>
      <c r="AA673" s="6"/>
    </row>
    <row r="674" ht="51.75" customHeight="1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4"/>
      <c r="Y674" s="5"/>
      <c r="Z674" s="5"/>
      <c r="AA674" s="6"/>
    </row>
    <row r="675" ht="51.75" customHeight="1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4"/>
      <c r="Y675" s="5"/>
      <c r="Z675" s="5"/>
      <c r="AA675" s="6"/>
    </row>
    <row r="676" ht="51.75" customHeight="1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4"/>
      <c r="Y676" s="5"/>
      <c r="Z676" s="5"/>
      <c r="AA676" s="6"/>
    </row>
    <row r="677" ht="51.75" customHeight="1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4"/>
      <c r="Y677" s="5"/>
      <c r="Z677" s="5"/>
      <c r="AA677" s="6"/>
    </row>
    <row r="678" ht="51.75" customHeight="1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4"/>
      <c r="Y678" s="5"/>
      <c r="Z678" s="5"/>
      <c r="AA678" s="6"/>
    </row>
    <row r="679" ht="51.75" customHeight="1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4"/>
      <c r="Y679" s="5"/>
      <c r="Z679" s="5"/>
      <c r="AA679" s="6"/>
    </row>
    <row r="680" ht="51.75" customHeight="1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4"/>
      <c r="Y680" s="5"/>
      <c r="Z680" s="5"/>
      <c r="AA680" s="6"/>
    </row>
    <row r="681" ht="51.75" customHeight="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4"/>
      <c r="Y681" s="5"/>
      <c r="Z681" s="5"/>
      <c r="AA681" s="6"/>
    </row>
    <row r="682" ht="51.75" customHeight="1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4"/>
      <c r="Y682" s="5"/>
      <c r="Z682" s="5"/>
      <c r="AA682" s="6"/>
    </row>
    <row r="683" ht="51.75" customHeight="1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4"/>
      <c r="Y683" s="5"/>
      <c r="Z683" s="5"/>
      <c r="AA683" s="6"/>
    </row>
    <row r="684" ht="51.75" customHeight="1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4"/>
      <c r="Y684" s="5"/>
      <c r="Z684" s="5"/>
      <c r="AA684" s="6"/>
    </row>
    <row r="685" ht="51.75" customHeight="1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4"/>
      <c r="Y685" s="5"/>
      <c r="Z685" s="5"/>
      <c r="AA685" s="6"/>
    </row>
    <row r="686" ht="51.75" customHeight="1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4"/>
      <c r="Y686" s="5"/>
      <c r="Z686" s="5"/>
      <c r="AA686" s="6"/>
    </row>
    <row r="687" ht="51.75" customHeight="1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4"/>
      <c r="Y687" s="5"/>
      <c r="Z687" s="5"/>
      <c r="AA687" s="6"/>
    </row>
    <row r="688" ht="51.75" customHeight="1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4"/>
      <c r="Y688" s="5"/>
      <c r="Z688" s="5"/>
      <c r="AA688" s="6"/>
    </row>
    <row r="689" ht="51.75" customHeight="1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4"/>
      <c r="Y689" s="5"/>
      <c r="Z689" s="5"/>
      <c r="AA689" s="6"/>
    </row>
    <row r="690" ht="51.75" customHeight="1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4"/>
      <c r="Y690" s="5"/>
      <c r="Z690" s="5"/>
      <c r="AA690" s="6"/>
    </row>
    <row r="691" ht="51.75" customHeight="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4"/>
      <c r="Y691" s="5"/>
      <c r="Z691" s="5"/>
      <c r="AA691" s="6"/>
    </row>
    <row r="692" ht="51.75" customHeight="1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4"/>
      <c r="Y692" s="5"/>
      <c r="Z692" s="5"/>
      <c r="AA692" s="6"/>
    </row>
    <row r="693" ht="51.75" customHeight="1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4"/>
      <c r="Y693" s="5"/>
      <c r="Z693" s="5"/>
      <c r="AA693" s="6"/>
    </row>
    <row r="694" ht="51.75" customHeight="1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4"/>
      <c r="Y694" s="5"/>
      <c r="Z694" s="5"/>
      <c r="AA694" s="6"/>
    </row>
    <row r="695" ht="51.75" customHeight="1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4"/>
      <c r="Y695" s="5"/>
      <c r="Z695" s="5"/>
      <c r="AA695" s="6"/>
    </row>
    <row r="696" ht="51.75" customHeight="1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4"/>
      <c r="Y696" s="5"/>
      <c r="Z696" s="5"/>
      <c r="AA696" s="6"/>
    </row>
    <row r="697" ht="51.75" customHeight="1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4"/>
      <c r="Y697" s="5"/>
      <c r="Z697" s="5"/>
      <c r="AA697" s="6"/>
    </row>
    <row r="698" ht="51.75" customHeight="1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4"/>
      <c r="Y698" s="5"/>
      <c r="Z698" s="5"/>
      <c r="AA698" s="6"/>
    </row>
    <row r="699" ht="51.75" customHeight="1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4"/>
      <c r="Y699" s="5"/>
      <c r="Z699" s="5"/>
      <c r="AA699" s="6"/>
    </row>
    <row r="700" ht="51.75" customHeight="1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4"/>
      <c r="Y700" s="5"/>
      <c r="Z700" s="5"/>
      <c r="AA700" s="6"/>
    </row>
    <row r="701" ht="51.75" customHeight="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4"/>
      <c r="Y701" s="5"/>
      <c r="Z701" s="5"/>
      <c r="AA701" s="6"/>
    </row>
    <row r="702" ht="51.75" customHeight="1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4"/>
      <c r="Y702" s="5"/>
      <c r="Z702" s="5"/>
      <c r="AA702" s="6"/>
    </row>
    <row r="703" ht="51.75" customHeight="1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4"/>
      <c r="Y703" s="5"/>
      <c r="Z703" s="5"/>
      <c r="AA703" s="6"/>
    </row>
    <row r="704" ht="51.75" customHeight="1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4"/>
      <c r="Y704" s="5"/>
      <c r="Z704" s="5"/>
      <c r="AA704" s="6"/>
    </row>
    <row r="705" ht="51.75" customHeight="1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4"/>
      <c r="Y705" s="5"/>
      <c r="Z705" s="5"/>
      <c r="AA705" s="6"/>
    </row>
    <row r="706" ht="51.75" customHeight="1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4"/>
      <c r="Y706" s="5"/>
      <c r="Z706" s="5"/>
      <c r="AA706" s="6"/>
    </row>
    <row r="707" ht="51.75" customHeight="1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4"/>
      <c r="Y707" s="5"/>
      <c r="Z707" s="5"/>
      <c r="AA707" s="6"/>
    </row>
    <row r="708" ht="51.75" customHeight="1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4"/>
      <c r="Y708" s="5"/>
      <c r="Z708" s="5"/>
      <c r="AA708" s="6"/>
    </row>
    <row r="709" ht="51.75" customHeight="1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4"/>
      <c r="Y709" s="5"/>
      <c r="Z709" s="5"/>
      <c r="AA709" s="6"/>
    </row>
    <row r="710" ht="51.75" customHeight="1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4"/>
      <c r="Y710" s="5"/>
      <c r="Z710" s="5"/>
      <c r="AA710" s="6"/>
    </row>
    <row r="711" ht="51.75" customHeight="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4"/>
      <c r="Y711" s="5"/>
      <c r="Z711" s="5"/>
      <c r="AA711" s="6"/>
    </row>
    <row r="712" ht="51.75" customHeight="1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4"/>
      <c r="Y712" s="5"/>
      <c r="Z712" s="5"/>
      <c r="AA712" s="6"/>
    </row>
    <row r="713" ht="51.75" customHeight="1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4"/>
      <c r="Y713" s="5"/>
      <c r="Z713" s="5"/>
      <c r="AA713" s="6"/>
    </row>
    <row r="714" ht="51.75" customHeight="1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4"/>
      <c r="Y714" s="5"/>
      <c r="Z714" s="5"/>
      <c r="AA714" s="6"/>
    </row>
    <row r="715" ht="51.75" customHeight="1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4"/>
      <c r="Y715" s="5"/>
      <c r="Z715" s="5"/>
      <c r="AA715" s="6"/>
    </row>
    <row r="716" ht="51.75" customHeight="1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4"/>
      <c r="Y716" s="5"/>
      <c r="Z716" s="5"/>
      <c r="AA716" s="6"/>
    </row>
    <row r="717" ht="51.75" customHeight="1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4"/>
      <c r="Y717" s="5"/>
      <c r="Z717" s="5"/>
      <c r="AA717" s="6"/>
    </row>
    <row r="718" ht="51.75" customHeight="1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4"/>
      <c r="Y718" s="5"/>
      <c r="Z718" s="5"/>
      <c r="AA718" s="6"/>
    </row>
    <row r="719" ht="51.75" customHeight="1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4"/>
      <c r="Y719" s="5"/>
      <c r="Z719" s="5"/>
      <c r="AA719" s="6"/>
    </row>
    <row r="720" ht="51.75" customHeight="1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4"/>
      <c r="Y720" s="5"/>
      <c r="Z720" s="5"/>
      <c r="AA720" s="6"/>
    </row>
    <row r="721" ht="51.75" customHeight="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4"/>
      <c r="Y721" s="5"/>
      <c r="Z721" s="5"/>
      <c r="AA721" s="6"/>
    </row>
    <row r="722" ht="51.75" customHeight="1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4"/>
      <c r="Y722" s="5"/>
      <c r="Z722" s="5"/>
      <c r="AA722" s="6"/>
    </row>
    <row r="723" ht="51.75" customHeight="1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4"/>
      <c r="Y723" s="5"/>
      <c r="Z723" s="5"/>
      <c r="AA723" s="6"/>
    </row>
    <row r="724" ht="51.75" customHeight="1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4"/>
      <c r="Y724" s="5"/>
      <c r="Z724" s="5"/>
      <c r="AA724" s="6"/>
    </row>
    <row r="725" ht="51.75" customHeight="1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4"/>
      <c r="Y725" s="5"/>
      <c r="Z725" s="5"/>
      <c r="AA725" s="6"/>
    </row>
    <row r="726" ht="51.75" customHeight="1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4"/>
      <c r="Y726" s="5"/>
      <c r="Z726" s="5"/>
      <c r="AA726" s="6"/>
    </row>
    <row r="727" ht="51.75" customHeight="1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4"/>
      <c r="Y727" s="5"/>
      <c r="Z727" s="5"/>
      <c r="AA727" s="6"/>
    </row>
    <row r="728" ht="51.75" customHeight="1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4"/>
      <c r="Y728" s="5"/>
      <c r="Z728" s="5"/>
      <c r="AA728" s="6"/>
    </row>
    <row r="729" ht="51.75" customHeight="1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4"/>
      <c r="Y729" s="5"/>
      <c r="Z729" s="5"/>
      <c r="AA729" s="6"/>
    </row>
    <row r="730" ht="51.75" customHeight="1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4"/>
      <c r="Y730" s="5"/>
      <c r="Z730" s="5"/>
      <c r="AA730" s="6"/>
    </row>
    <row r="731" ht="51.75" customHeight="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4"/>
      <c r="Y731" s="5"/>
      <c r="Z731" s="5"/>
      <c r="AA731" s="6"/>
    </row>
    <row r="732" ht="51.75" customHeight="1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4"/>
      <c r="Y732" s="5"/>
      <c r="Z732" s="5"/>
      <c r="AA732" s="6"/>
    </row>
    <row r="733" ht="51.75" customHeight="1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4"/>
      <c r="Y733" s="5"/>
      <c r="Z733" s="5"/>
      <c r="AA733" s="6"/>
    </row>
    <row r="734" ht="51.75" customHeight="1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4"/>
      <c r="Y734" s="5"/>
      <c r="Z734" s="5"/>
      <c r="AA734" s="6"/>
    </row>
    <row r="735" ht="51.75" customHeight="1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4"/>
      <c r="Y735" s="5"/>
      <c r="Z735" s="5"/>
      <c r="AA735" s="6"/>
    </row>
    <row r="736" ht="51.75" customHeight="1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4"/>
      <c r="Y736" s="5"/>
      <c r="Z736" s="5"/>
      <c r="AA736" s="6"/>
    </row>
    <row r="737" ht="51.75" customHeight="1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4"/>
      <c r="Y737" s="5"/>
      <c r="Z737" s="5"/>
      <c r="AA737" s="6"/>
    </row>
    <row r="738" ht="51.75" customHeight="1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4"/>
      <c r="Y738" s="5"/>
      <c r="Z738" s="5"/>
      <c r="AA738" s="6"/>
    </row>
    <row r="739" ht="51.75" customHeight="1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4"/>
      <c r="Y739" s="5"/>
      <c r="Z739" s="5"/>
      <c r="AA739" s="6"/>
    </row>
    <row r="740" ht="51.75" customHeight="1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4"/>
      <c r="Y740" s="5"/>
      <c r="Z740" s="5"/>
      <c r="AA740" s="6"/>
    </row>
    <row r="741" ht="51.75" customHeight="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4"/>
      <c r="Y741" s="5"/>
      <c r="Z741" s="5"/>
      <c r="AA741" s="6"/>
    </row>
    <row r="742" ht="51.75" customHeight="1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4"/>
      <c r="Y742" s="5"/>
      <c r="Z742" s="5"/>
      <c r="AA742" s="6"/>
    </row>
    <row r="743" ht="51.75" customHeight="1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4"/>
      <c r="Y743" s="5"/>
      <c r="Z743" s="5"/>
      <c r="AA743" s="6"/>
    </row>
    <row r="744" ht="51.75" customHeight="1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4"/>
      <c r="Y744" s="5"/>
      <c r="Z744" s="5"/>
      <c r="AA744" s="6"/>
    </row>
    <row r="745" ht="51.75" customHeight="1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4"/>
      <c r="Y745" s="5"/>
      <c r="Z745" s="5"/>
      <c r="AA745" s="6"/>
    </row>
    <row r="746" ht="51.75" customHeight="1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4"/>
      <c r="Y746" s="5"/>
      <c r="Z746" s="5"/>
      <c r="AA746" s="6"/>
    </row>
    <row r="747" ht="51.75" customHeight="1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4"/>
      <c r="Y747" s="5"/>
      <c r="Z747" s="5"/>
      <c r="AA747" s="6"/>
    </row>
    <row r="748" ht="51.75" customHeight="1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4"/>
      <c r="Y748" s="5"/>
      <c r="Z748" s="5"/>
      <c r="AA748" s="6"/>
    </row>
    <row r="749" ht="51.75" customHeight="1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4"/>
      <c r="Y749" s="5"/>
      <c r="Z749" s="5"/>
      <c r="AA749" s="6"/>
    </row>
    <row r="750" ht="51.75" customHeight="1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4"/>
      <c r="Y750" s="5"/>
      <c r="Z750" s="5"/>
      <c r="AA750" s="6"/>
    </row>
    <row r="751" ht="51.75" customHeight="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4"/>
      <c r="Y751" s="5"/>
      <c r="Z751" s="5"/>
      <c r="AA751" s="6"/>
    </row>
    <row r="752" ht="51.75" customHeight="1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4"/>
      <c r="Y752" s="5"/>
      <c r="Z752" s="5"/>
      <c r="AA752" s="6"/>
    </row>
    <row r="753" ht="51.75" customHeight="1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4"/>
      <c r="Y753" s="5"/>
      <c r="Z753" s="5"/>
      <c r="AA753" s="6"/>
    </row>
    <row r="754" ht="51.75" customHeight="1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4"/>
      <c r="Y754" s="5"/>
      <c r="Z754" s="5"/>
      <c r="AA754" s="6"/>
    </row>
    <row r="755" ht="51.75" customHeight="1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4"/>
      <c r="Y755" s="5"/>
      <c r="Z755" s="5"/>
      <c r="AA755" s="6"/>
    </row>
    <row r="756" ht="51.75" customHeight="1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4"/>
      <c r="Y756" s="5"/>
      <c r="Z756" s="5"/>
      <c r="AA756" s="6"/>
    </row>
    <row r="757" ht="51.75" customHeight="1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4"/>
      <c r="Y757" s="5"/>
      <c r="Z757" s="5"/>
      <c r="AA757" s="6"/>
    </row>
    <row r="758" ht="51.75" customHeight="1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4"/>
      <c r="Y758" s="5"/>
      <c r="Z758" s="5"/>
      <c r="AA758" s="6"/>
    </row>
    <row r="759" ht="51.75" customHeight="1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4"/>
      <c r="Y759" s="5"/>
      <c r="Z759" s="5"/>
      <c r="AA759" s="6"/>
    </row>
    <row r="760" ht="51.75" customHeight="1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4"/>
      <c r="Y760" s="5"/>
      <c r="Z760" s="5"/>
      <c r="AA760" s="6"/>
    </row>
    <row r="761" ht="51.75" customHeight="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4"/>
      <c r="Y761" s="5"/>
      <c r="Z761" s="5"/>
      <c r="AA761" s="6"/>
    </row>
    <row r="762" ht="51.75" customHeight="1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4"/>
      <c r="Y762" s="5"/>
      <c r="Z762" s="5"/>
      <c r="AA762" s="6"/>
    </row>
    <row r="763" ht="51.75" customHeight="1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4"/>
      <c r="Y763" s="5"/>
      <c r="Z763" s="5"/>
      <c r="AA763" s="6"/>
    </row>
    <row r="764" ht="51.75" customHeight="1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4"/>
      <c r="Y764" s="5"/>
      <c r="Z764" s="5"/>
      <c r="AA764" s="6"/>
    </row>
    <row r="765" ht="51.75" customHeight="1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4"/>
      <c r="Y765" s="5"/>
      <c r="Z765" s="5"/>
      <c r="AA765" s="6"/>
    </row>
    <row r="766" ht="51.75" customHeight="1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4"/>
      <c r="Y766" s="5"/>
      <c r="Z766" s="5"/>
      <c r="AA766" s="6"/>
    </row>
    <row r="767" ht="51.75" customHeight="1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4"/>
      <c r="Y767" s="5"/>
      <c r="Z767" s="5"/>
      <c r="AA767" s="6"/>
    </row>
    <row r="768" ht="51.75" customHeight="1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4"/>
      <c r="Y768" s="5"/>
      <c r="Z768" s="5"/>
      <c r="AA768" s="6"/>
    </row>
    <row r="769" ht="51.75" customHeight="1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4"/>
      <c r="Y769" s="5"/>
      <c r="Z769" s="5"/>
      <c r="AA769" s="6"/>
    </row>
    <row r="770" ht="51.75" customHeight="1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4"/>
      <c r="Y770" s="5"/>
      <c r="Z770" s="5"/>
      <c r="AA770" s="6"/>
    </row>
    <row r="771" ht="51.75" customHeight="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4"/>
      <c r="Y771" s="5"/>
      <c r="Z771" s="5"/>
      <c r="AA771" s="6"/>
    </row>
    <row r="772" ht="51.75" customHeight="1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4"/>
      <c r="Y772" s="5"/>
      <c r="Z772" s="5"/>
      <c r="AA772" s="6"/>
    </row>
    <row r="773" ht="51.75" customHeight="1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4"/>
      <c r="Y773" s="5"/>
      <c r="Z773" s="5"/>
      <c r="AA773" s="6"/>
    </row>
    <row r="774" ht="51.75" customHeight="1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4"/>
      <c r="Y774" s="5"/>
      <c r="Z774" s="5"/>
      <c r="AA774" s="6"/>
    </row>
    <row r="775" ht="51.75" customHeight="1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4"/>
      <c r="Y775" s="5"/>
      <c r="Z775" s="5"/>
      <c r="AA775" s="6"/>
    </row>
    <row r="776" ht="51.75" customHeight="1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4"/>
      <c r="Y776" s="5"/>
      <c r="Z776" s="5"/>
      <c r="AA776" s="6"/>
    </row>
    <row r="777" ht="51.75" customHeight="1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4"/>
      <c r="Y777" s="5"/>
      <c r="Z777" s="5"/>
      <c r="AA777" s="6"/>
    </row>
    <row r="778" ht="51.75" customHeight="1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4"/>
      <c r="Y778" s="5"/>
      <c r="Z778" s="5"/>
      <c r="AA778" s="6"/>
    </row>
    <row r="779" ht="51.75" customHeight="1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4"/>
      <c r="Y779" s="5"/>
      <c r="Z779" s="5"/>
      <c r="AA779" s="6"/>
    </row>
    <row r="780" ht="51.75" customHeight="1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4"/>
      <c r="Y780" s="5"/>
      <c r="Z780" s="5"/>
      <c r="AA780" s="6"/>
    </row>
    <row r="781" ht="51.75" customHeight="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4"/>
      <c r="Y781" s="5"/>
      <c r="Z781" s="5"/>
      <c r="AA781" s="6"/>
    </row>
    <row r="782" ht="51.75" customHeight="1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4"/>
      <c r="Y782" s="5"/>
      <c r="Z782" s="5"/>
      <c r="AA782" s="6"/>
    </row>
    <row r="783" ht="51.75" customHeight="1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4"/>
      <c r="Y783" s="5"/>
      <c r="Z783" s="5"/>
      <c r="AA783" s="6"/>
    </row>
    <row r="784" ht="51.75" customHeight="1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4"/>
      <c r="Y784" s="5"/>
      <c r="Z784" s="5"/>
      <c r="AA784" s="6"/>
    </row>
    <row r="785" ht="51.75" customHeight="1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4"/>
      <c r="Y785" s="5"/>
      <c r="Z785" s="5"/>
      <c r="AA785" s="6"/>
    </row>
    <row r="786" ht="51.75" customHeight="1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4"/>
      <c r="Y786" s="5"/>
      <c r="Z786" s="5"/>
      <c r="AA786" s="6"/>
    </row>
    <row r="787" ht="51.75" customHeight="1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4"/>
      <c r="Y787" s="5"/>
      <c r="Z787" s="5"/>
      <c r="AA787" s="6"/>
    </row>
    <row r="788" ht="51.75" customHeight="1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4"/>
      <c r="Y788" s="5"/>
      <c r="Z788" s="5"/>
      <c r="AA788" s="6"/>
    </row>
    <row r="789" ht="51.75" customHeight="1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4"/>
      <c r="Y789" s="5"/>
      <c r="Z789" s="5"/>
      <c r="AA789" s="6"/>
    </row>
    <row r="790" ht="51.75" customHeight="1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4"/>
      <c r="Y790" s="5"/>
      <c r="Z790" s="5"/>
      <c r="AA790" s="6"/>
    </row>
    <row r="791" ht="51.75" customHeight="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4"/>
      <c r="Y791" s="5"/>
      <c r="Z791" s="5"/>
      <c r="AA791" s="6"/>
    </row>
    <row r="792" ht="51.75" customHeight="1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4"/>
      <c r="Y792" s="5"/>
      <c r="Z792" s="5"/>
      <c r="AA792" s="6"/>
    </row>
    <row r="793" ht="51.75" customHeight="1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4"/>
      <c r="Y793" s="5"/>
      <c r="Z793" s="5"/>
      <c r="AA793" s="6"/>
    </row>
    <row r="794" ht="51.75" customHeight="1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4"/>
      <c r="Y794" s="5"/>
      <c r="Z794" s="5"/>
      <c r="AA794" s="6"/>
    </row>
    <row r="795" ht="51.75" customHeight="1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4"/>
      <c r="Y795" s="5"/>
      <c r="Z795" s="5"/>
      <c r="AA795" s="6"/>
    </row>
    <row r="796" ht="51.75" customHeight="1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4"/>
      <c r="Y796" s="5"/>
      <c r="Z796" s="5"/>
      <c r="AA796" s="6"/>
    </row>
    <row r="797" ht="51.75" customHeight="1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4"/>
      <c r="Y797" s="5"/>
      <c r="Z797" s="5"/>
      <c r="AA797" s="6"/>
    </row>
    <row r="798" ht="51.75" customHeight="1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4"/>
      <c r="Y798" s="5"/>
      <c r="Z798" s="5"/>
      <c r="AA798" s="6"/>
    </row>
    <row r="799" ht="51.75" customHeight="1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4"/>
      <c r="Y799" s="5"/>
      <c r="Z799" s="5"/>
      <c r="AA799" s="6"/>
    </row>
    <row r="800" ht="51.75" customHeight="1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4"/>
      <c r="Y800" s="5"/>
      <c r="Z800" s="5"/>
      <c r="AA800" s="6"/>
    </row>
    <row r="801" ht="51.75" customHeight="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4"/>
      <c r="Y801" s="5"/>
      <c r="Z801" s="5"/>
      <c r="AA801" s="6"/>
    </row>
    <row r="802" ht="51.75" customHeight="1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4"/>
      <c r="Y802" s="5"/>
      <c r="Z802" s="5"/>
      <c r="AA802" s="6"/>
    </row>
    <row r="803" ht="51.75" customHeight="1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4"/>
      <c r="Y803" s="5"/>
      <c r="Z803" s="5"/>
      <c r="AA803" s="6"/>
    </row>
    <row r="804" ht="51.75" customHeight="1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4"/>
      <c r="Y804" s="5"/>
      <c r="Z804" s="5"/>
      <c r="AA804" s="6"/>
    </row>
    <row r="805" ht="51.75" customHeight="1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4"/>
      <c r="Y805" s="5"/>
      <c r="Z805" s="5"/>
      <c r="AA805" s="6"/>
    </row>
    <row r="806" ht="51.75" customHeight="1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4"/>
      <c r="Y806" s="5"/>
      <c r="Z806" s="5"/>
      <c r="AA806" s="6"/>
    </row>
    <row r="807" ht="51.75" customHeight="1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4"/>
      <c r="Y807" s="5"/>
      <c r="Z807" s="5"/>
      <c r="AA807" s="6"/>
    </row>
    <row r="808" ht="51.75" customHeight="1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4"/>
      <c r="Y808" s="5"/>
      <c r="Z808" s="5"/>
      <c r="AA808" s="6"/>
    </row>
    <row r="809" ht="51.75" customHeight="1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4"/>
      <c r="Y809" s="5"/>
      <c r="Z809" s="5"/>
      <c r="AA809" s="6"/>
    </row>
    <row r="810" ht="51.75" customHeight="1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4"/>
      <c r="Y810" s="5"/>
      <c r="Z810" s="5"/>
      <c r="AA810" s="6"/>
    </row>
    <row r="811" ht="51.75" customHeight="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4"/>
      <c r="Y811" s="5"/>
      <c r="Z811" s="5"/>
      <c r="AA811" s="6"/>
    </row>
    <row r="812" ht="51.75" customHeight="1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4"/>
      <c r="Y812" s="5"/>
      <c r="Z812" s="5"/>
      <c r="AA812" s="6"/>
    </row>
    <row r="813" ht="51.75" customHeight="1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4"/>
      <c r="Y813" s="5"/>
      <c r="Z813" s="5"/>
      <c r="AA813" s="6"/>
    </row>
    <row r="814" ht="51.75" customHeight="1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4"/>
      <c r="Y814" s="5"/>
      <c r="Z814" s="5"/>
      <c r="AA814" s="6"/>
    </row>
    <row r="815" ht="51.75" customHeight="1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4"/>
      <c r="Y815" s="5"/>
      <c r="Z815" s="5"/>
      <c r="AA815" s="6"/>
    </row>
    <row r="816" ht="51.75" customHeight="1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4"/>
      <c r="Y816" s="5"/>
      <c r="Z816" s="5"/>
      <c r="AA816" s="6"/>
    </row>
    <row r="817" ht="51.75" customHeight="1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4"/>
      <c r="Y817" s="5"/>
      <c r="Z817" s="5"/>
      <c r="AA817" s="6"/>
    </row>
    <row r="818" ht="51.75" customHeight="1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4"/>
      <c r="Y818" s="5"/>
      <c r="Z818" s="5"/>
      <c r="AA818" s="6"/>
    </row>
    <row r="819" ht="51.75" customHeight="1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4"/>
      <c r="Y819" s="5"/>
      <c r="Z819" s="5"/>
      <c r="AA819" s="6"/>
    </row>
    <row r="820" ht="51.75" customHeight="1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4"/>
      <c r="Y820" s="5"/>
      <c r="Z820" s="5"/>
      <c r="AA820" s="6"/>
    </row>
    <row r="821" ht="51.75" customHeight="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4"/>
      <c r="Y821" s="5"/>
      <c r="Z821" s="5"/>
      <c r="AA821" s="6"/>
    </row>
    <row r="822" ht="51.75" customHeight="1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4"/>
      <c r="Y822" s="5"/>
      <c r="Z822" s="5"/>
      <c r="AA822" s="6"/>
    </row>
    <row r="823" ht="51.75" customHeight="1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4"/>
      <c r="Y823" s="5"/>
      <c r="Z823" s="5"/>
      <c r="AA823" s="6"/>
    </row>
    <row r="824" ht="51.75" customHeight="1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4"/>
      <c r="Y824" s="5"/>
      <c r="Z824" s="5"/>
      <c r="AA824" s="6"/>
    </row>
    <row r="825" ht="51.75" customHeight="1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4"/>
      <c r="Y825" s="5"/>
      <c r="Z825" s="5"/>
      <c r="AA825" s="6"/>
    </row>
    <row r="826" ht="51.75" customHeight="1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4"/>
      <c r="Y826" s="5"/>
      <c r="Z826" s="5"/>
      <c r="AA826" s="6"/>
    </row>
    <row r="827" ht="51.75" customHeight="1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4"/>
      <c r="Y827" s="5"/>
      <c r="Z827" s="5"/>
      <c r="AA827" s="6"/>
    </row>
    <row r="828" ht="51.75" customHeight="1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4"/>
      <c r="Y828" s="5"/>
      <c r="Z828" s="5"/>
      <c r="AA828" s="6"/>
    </row>
    <row r="829" ht="51.75" customHeight="1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4"/>
      <c r="Y829" s="5"/>
      <c r="Z829" s="5"/>
      <c r="AA829" s="6"/>
    </row>
    <row r="830" ht="51.75" customHeight="1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4"/>
      <c r="Y830" s="5"/>
      <c r="Z830" s="5"/>
      <c r="AA830" s="6"/>
    </row>
    <row r="831" ht="51.75" customHeight="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4"/>
      <c r="Y831" s="5"/>
      <c r="Z831" s="5"/>
      <c r="AA831" s="6"/>
    </row>
    <row r="832" ht="51.75" customHeight="1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4"/>
      <c r="Y832" s="5"/>
      <c r="Z832" s="5"/>
      <c r="AA832" s="6"/>
    </row>
    <row r="833" ht="51.75" customHeight="1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4"/>
      <c r="Y833" s="5"/>
      <c r="Z833" s="5"/>
      <c r="AA833" s="6"/>
    </row>
    <row r="834" ht="51.75" customHeight="1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4"/>
      <c r="Y834" s="5"/>
      <c r="Z834" s="5"/>
      <c r="AA834" s="6"/>
    </row>
    <row r="835" ht="51.75" customHeight="1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4"/>
      <c r="Y835" s="5"/>
      <c r="Z835" s="5"/>
      <c r="AA835" s="6"/>
    </row>
    <row r="836" ht="51.75" customHeight="1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4"/>
      <c r="Y836" s="5"/>
      <c r="Z836" s="5"/>
      <c r="AA836" s="6"/>
    </row>
    <row r="837" ht="51.75" customHeight="1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4"/>
      <c r="Y837" s="5"/>
      <c r="Z837" s="5"/>
      <c r="AA837" s="6"/>
    </row>
    <row r="838" ht="51.75" customHeight="1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4"/>
      <c r="Y838" s="5"/>
      <c r="Z838" s="5"/>
      <c r="AA838" s="6"/>
    </row>
    <row r="839" ht="51.75" customHeight="1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4"/>
      <c r="Y839" s="5"/>
      <c r="Z839" s="5"/>
      <c r="AA839" s="6"/>
    </row>
    <row r="840" ht="51.75" customHeight="1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4"/>
      <c r="Y840" s="5"/>
      <c r="Z840" s="5"/>
      <c r="AA840" s="6"/>
    </row>
    <row r="841" ht="51.75" customHeight="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4"/>
      <c r="Y841" s="5"/>
      <c r="Z841" s="5"/>
      <c r="AA841" s="6"/>
    </row>
    <row r="842" ht="51.75" customHeight="1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4"/>
      <c r="Y842" s="5"/>
      <c r="Z842" s="5"/>
      <c r="AA842" s="6"/>
    </row>
    <row r="843" ht="51.75" customHeight="1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4"/>
      <c r="Y843" s="5"/>
      <c r="Z843" s="5"/>
      <c r="AA843" s="6"/>
    </row>
    <row r="844" ht="51.75" customHeight="1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4"/>
      <c r="Y844" s="5"/>
      <c r="Z844" s="5"/>
      <c r="AA844" s="6"/>
    </row>
    <row r="845" ht="51.75" customHeight="1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4"/>
      <c r="Y845" s="5"/>
      <c r="Z845" s="5"/>
      <c r="AA845" s="6"/>
    </row>
    <row r="846" ht="51.75" customHeight="1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4"/>
      <c r="Y846" s="5"/>
      <c r="Z846" s="5"/>
      <c r="AA846" s="6"/>
    </row>
    <row r="847" ht="51.75" customHeight="1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4"/>
      <c r="Y847" s="5"/>
      <c r="Z847" s="5"/>
      <c r="AA847" s="6"/>
    </row>
    <row r="848" ht="51.75" customHeight="1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4"/>
      <c r="Y848" s="5"/>
      <c r="Z848" s="5"/>
      <c r="AA848" s="6"/>
    </row>
    <row r="849" ht="51.75" customHeight="1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4"/>
      <c r="Y849" s="5"/>
      <c r="Z849" s="5"/>
      <c r="AA849" s="6"/>
    </row>
    <row r="850" ht="51.75" customHeight="1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4"/>
      <c r="Y850" s="5"/>
      <c r="Z850" s="5"/>
      <c r="AA850" s="6"/>
    </row>
    <row r="851" ht="51.75" customHeight="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4"/>
      <c r="Y851" s="5"/>
      <c r="Z851" s="5"/>
      <c r="AA851" s="6"/>
    </row>
    <row r="852" ht="51.75" customHeight="1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4"/>
      <c r="Y852" s="5"/>
      <c r="Z852" s="5"/>
      <c r="AA852" s="6"/>
    </row>
    <row r="853" ht="51.75" customHeight="1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4"/>
      <c r="Y853" s="5"/>
      <c r="Z853" s="5"/>
      <c r="AA853" s="6"/>
    </row>
    <row r="854" ht="51.75" customHeight="1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4"/>
      <c r="Y854" s="5"/>
      <c r="Z854" s="5"/>
      <c r="AA854" s="6"/>
    </row>
    <row r="855" ht="51.75" customHeight="1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4"/>
      <c r="Y855" s="5"/>
      <c r="Z855" s="5"/>
      <c r="AA855" s="6"/>
    </row>
    <row r="856" ht="51.75" customHeight="1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4"/>
      <c r="Y856" s="5"/>
      <c r="Z856" s="5"/>
      <c r="AA856" s="6"/>
    </row>
    <row r="857" ht="51.75" customHeight="1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4"/>
      <c r="Y857" s="5"/>
      <c r="Z857" s="5"/>
      <c r="AA857" s="6"/>
    </row>
    <row r="858" ht="51.75" customHeight="1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4"/>
      <c r="Y858" s="5"/>
      <c r="Z858" s="5"/>
      <c r="AA858" s="6"/>
    </row>
    <row r="859" ht="51.75" customHeight="1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4"/>
      <c r="Y859" s="5"/>
      <c r="Z859" s="5"/>
      <c r="AA859" s="6"/>
    </row>
    <row r="860" ht="51.75" customHeight="1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4"/>
      <c r="Y860" s="5"/>
      <c r="Z860" s="5"/>
      <c r="AA860" s="6"/>
    </row>
    <row r="861" ht="51.75" customHeight="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4"/>
      <c r="Y861" s="5"/>
      <c r="Z861" s="5"/>
      <c r="AA861" s="6"/>
    </row>
    <row r="862" ht="51.75" customHeight="1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4"/>
      <c r="Y862" s="5"/>
      <c r="Z862" s="5"/>
      <c r="AA862" s="6"/>
    </row>
    <row r="863" ht="51.75" customHeight="1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4"/>
      <c r="Y863" s="5"/>
      <c r="Z863" s="5"/>
      <c r="AA863" s="6"/>
    </row>
    <row r="864" ht="51.75" customHeight="1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4"/>
      <c r="Y864" s="5"/>
      <c r="Z864" s="5"/>
      <c r="AA864" s="6"/>
    </row>
    <row r="865" ht="51.75" customHeight="1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4"/>
      <c r="Y865" s="5"/>
      <c r="Z865" s="5"/>
      <c r="AA865" s="6"/>
    </row>
    <row r="866" ht="51.75" customHeight="1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4"/>
      <c r="Y866" s="5"/>
      <c r="Z866" s="5"/>
      <c r="AA866" s="6"/>
    </row>
    <row r="867" ht="51.75" customHeight="1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4"/>
      <c r="Y867" s="5"/>
      <c r="Z867" s="5"/>
      <c r="AA867" s="6"/>
    </row>
    <row r="868" ht="51.75" customHeight="1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4"/>
      <c r="Y868" s="5"/>
      <c r="Z868" s="5"/>
      <c r="AA868" s="6"/>
    </row>
    <row r="869" ht="51.75" customHeight="1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4"/>
      <c r="Y869" s="5"/>
      <c r="Z869" s="5"/>
      <c r="AA869" s="6"/>
    </row>
    <row r="870" ht="51.75" customHeight="1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4"/>
      <c r="Y870" s="5"/>
      <c r="Z870" s="5"/>
      <c r="AA870" s="6"/>
    </row>
    <row r="871" ht="51.75" customHeight="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4"/>
      <c r="Y871" s="5"/>
      <c r="Z871" s="5"/>
      <c r="AA871" s="6"/>
    </row>
    <row r="872" ht="51.75" customHeight="1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4"/>
      <c r="Y872" s="5"/>
      <c r="Z872" s="5"/>
      <c r="AA872" s="6"/>
    </row>
    <row r="873" ht="51.75" customHeight="1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4"/>
      <c r="Y873" s="5"/>
      <c r="Z873" s="5"/>
      <c r="AA873" s="6"/>
    </row>
    <row r="874" ht="51.75" customHeight="1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4"/>
      <c r="Y874" s="5"/>
      <c r="Z874" s="5"/>
      <c r="AA874" s="6"/>
    </row>
    <row r="875" ht="51.75" customHeight="1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4"/>
      <c r="Y875" s="5"/>
      <c r="Z875" s="5"/>
      <c r="AA875" s="6"/>
    </row>
    <row r="876" ht="51.75" customHeight="1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4"/>
      <c r="Y876" s="5"/>
      <c r="Z876" s="5"/>
      <c r="AA876" s="6"/>
    </row>
    <row r="877" ht="51.75" customHeight="1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4"/>
      <c r="Y877" s="5"/>
      <c r="Z877" s="5"/>
      <c r="AA877" s="6"/>
    </row>
    <row r="878" ht="51.75" customHeight="1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4"/>
      <c r="Y878" s="5"/>
      <c r="Z878" s="5"/>
      <c r="AA878" s="6"/>
    </row>
    <row r="879" ht="51.75" customHeight="1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4"/>
      <c r="Y879" s="5"/>
      <c r="Z879" s="5"/>
      <c r="AA879" s="6"/>
    </row>
    <row r="880" ht="51.75" customHeight="1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4"/>
      <c r="Y880" s="5"/>
      <c r="Z880" s="5"/>
      <c r="AA880" s="6"/>
    </row>
    <row r="881" ht="51.75" customHeight="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4"/>
      <c r="Y881" s="5"/>
      <c r="Z881" s="5"/>
      <c r="AA881" s="6"/>
    </row>
    <row r="882" ht="51.75" customHeight="1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4"/>
      <c r="Y882" s="5"/>
      <c r="Z882" s="5"/>
      <c r="AA882" s="6"/>
    </row>
    <row r="883" ht="51.75" customHeight="1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4"/>
      <c r="Y883" s="5"/>
      <c r="Z883" s="5"/>
      <c r="AA883" s="6"/>
    </row>
    <row r="884" ht="51.75" customHeight="1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4"/>
      <c r="Y884" s="5"/>
      <c r="Z884" s="5"/>
      <c r="AA884" s="6"/>
    </row>
    <row r="885" ht="51.75" customHeight="1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4"/>
      <c r="Y885" s="5"/>
      <c r="Z885" s="5"/>
      <c r="AA885" s="6"/>
    </row>
    <row r="886" ht="51.75" customHeight="1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4"/>
      <c r="Y886" s="5"/>
      <c r="Z886" s="5"/>
      <c r="AA886" s="6"/>
    </row>
    <row r="887" ht="51.75" customHeight="1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4"/>
      <c r="Y887" s="5"/>
      <c r="Z887" s="5"/>
      <c r="AA887" s="6"/>
    </row>
    <row r="888" ht="51.75" customHeight="1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4"/>
      <c r="Y888" s="5"/>
      <c r="Z888" s="5"/>
      <c r="AA888" s="6"/>
    </row>
    <row r="889" ht="51.75" customHeight="1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4"/>
      <c r="Y889" s="5"/>
      <c r="Z889" s="5"/>
      <c r="AA889" s="6"/>
    </row>
    <row r="890" ht="51.75" customHeight="1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4"/>
      <c r="Y890" s="5"/>
      <c r="Z890" s="5"/>
      <c r="AA890" s="6"/>
    </row>
    <row r="891" ht="51.75" customHeight="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4"/>
      <c r="Y891" s="5"/>
      <c r="Z891" s="5"/>
      <c r="AA891" s="6"/>
    </row>
    <row r="892" ht="51.75" customHeight="1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4"/>
      <c r="Y892" s="5"/>
      <c r="Z892" s="5"/>
      <c r="AA892" s="6"/>
    </row>
    <row r="893" ht="51.75" customHeight="1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4"/>
      <c r="Y893" s="5"/>
      <c r="Z893" s="5"/>
      <c r="AA893" s="6"/>
    </row>
    <row r="894" ht="51.75" customHeight="1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4"/>
      <c r="Y894" s="5"/>
      <c r="Z894" s="5"/>
      <c r="AA894" s="6"/>
    </row>
    <row r="895" ht="51.75" customHeight="1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4"/>
      <c r="Y895" s="5"/>
      <c r="Z895" s="5"/>
      <c r="AA895" s="6"/>
    </row>
    <row r="896" ht="51.75" customHeight="1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4"/>
      <c r="Y896" s="5"/>
      <c r="Z896" s="5"/>
      <c r="AA896" s="6"/>
    </row>
    <row r="897" ht="51.75" customHeight="1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4"/>
      <c r="Y897" s="5"/>
      <c r="Z897" s="5"/>
      <c r="AA897" s="6"/>
    </row>
    <row r="898" ht="51.75" customHeight="1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4"/>
      <c r="Y898" s="5"/>
      <c r="Z898" s="5"/>
      <c r="AA898" s="6"/>
    </row>
    <row r="899" ht="51.75" customHeight="1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4"/>
      <c r="Y899" s="5"/>
      <c r="Z899" s="5"/>
      <c r="AA899" s="6"/>
    </row>
    <row r="900" ht="51.75" customHeight="1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4"/>
      <c r="Y900" s="5"/>
      <c r="Z900" s="5"/>
      <c r="AA900" s="6"/>
    </row>
    <row r="901" ht="51.75" customHeight="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4"/>
      <c r="Y901" s="5"/>
      <c r="Z901" s="5"/>
      <c r="AA901" s="6"/>
    </row>
    <row r="902" ht="51.75" customHeight="1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4"/>
      <c r="Y902" s="5"/>
      <c r="Z902" s="5"/>
      <c r="AA902" s="6"/>
    </row>
    <row r="903" ht="51.75" customHeight="1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4"/>
      <c r="Y903" s="5"/>
      <c r="Z903" s="5"/>
      <c r="AA903" s="6"/>
    </row>
    <row r="904" ht="51.75" customHeight="1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4"/>
      <c r="Y904" s="5"/>
      <c r="Z904" s="5"/>
      <c r="AA904" s="6"/>
    </row>
    <row r="905" ht="51.75" customHeight="1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4"/>
      <c r="Y905" s="5"/>
      <c r="Z905" s="5"/>
      <c r="AA905" s="6"/>
    </row>
    <row r="906" ht="51.75" customHeight="1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4"/>
      <c r="Y906" s="5"/>
      <c r="Z906" s="5"/>
      <c r="AA906" s="6"/>
    </row>
    <row r="907" ht="51.75" customHeight="1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4"/>
      <c r="Y907" s="5"/>
      <c r="Z907" s="5"/>
      <c r="AA907" s="6"/>
    </row>
    <row r="908" ht="51.75" customHeight="1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4"/>
      <c r="Y908" s="5"/>
      <c r="Z908" s="5"/>
      <c r="AA908" s="6"/>
    </row>
    <row r="909" ht="51.75" customHeight="1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4"/>
      <c r="Y909" s="5"/>
      <c r="Z909" s="5"/>
      <c r="AA909" s="6"/>
    </row>
    <row r="910" ht="51.75" customHeight="1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4"/>
      <c r="Y910" s="5"/>
      <c r="Z910" s="5"/>
      <c r="AA910" s="6"/>
    </row>
    <row r="911" ht="51.75" customHeight="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4"/>
      <c r="Y911" s="5"/>
      <c r="Z911" s="5"/>
      <c r="AA911" s="6"/>
    </row>
    <row r="912" ht="51.75" customHeight="1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4"/>
      <c r="Y912" s="5"/>
      <c r="Z912" s="5"/>
      <c r="AA912" s="6"/>
    </row>
    <row r="913" ht="51.75" customHeight="1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4"/>
      <c r="Y913" s="5"/>
      <c r="Z913" s="5"/>
      <c r="AA913" s="6"/>
    </row>
    <row r="914" ht="51.75" customHeight="1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4"/>
      <c r="Y914" s="5"/>
      <c r="Z914" s="5"/>
      <c r="AA914" s="6"/>
    </row>
    <row r="915" ht="51.75" customHeight="1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4"/>
      <c r="Y915" s="5"/>
      <c r="Z915" s="5"/>
      <c r="AA915" s="6"/>
    </row>
    <row r="916" ht="51.75" customHeight="1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4"/>
      <c r="Y916" s="5"/>
      <c r="Z916" s="5"/>
      <c r="AA916" s="6"/>
    </row>
    <row r="917" ht="51.75" customHeight="1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4"/>
      <c r="Y917" s="5"/>
      <c r="Z917" s="5"/>
      <c r="AA917" s="6"/>
    </row>
    <row r="918" ht="51.75" customHeight="1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4"/>
      <c r="Y918" s="5"/>
      <c r="Z918" s="5"/>
      <c r="AA918" s="6"/>
    </row>
    <row r="919" ht="51.75" customHeight="1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4"/>
      <c r="Y919" s="5"/>
      <c r="Z919" s="5"/>
      <c r="AA919" s="6"/>
    </row>
    <row r="920" ht="51.75" customHeight="1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4"/>
      <c r="Y920" s="5"/>
      <c r="Z920" s="5"/>
      <c r="AA920" s="6"/>
    </row>
    <row r="921" ht="51.75" customHeight="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4"/>
      <c r="Y921" s="5"/>
      <c r="Z921" s="5"/>
      <c r="AA921" s="6"/>
    </row>
    <row r="922" ht="51.75" customHeight="1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4"/>
      <c r="Y922" s="5"/>
      <c r="Z922" s="5"/>
      <c r="AA922" s="6"/>
    </row>
    <row r="923" ht="51.75" customHeight="1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4"/>
      <c r="Y923" s="5"/>
      <c r="Z923" s="5"/>
      <c r="AA923" s="6"/>
    </row>
    <row r="924" ht="51.75" customHeight="1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4"/>
      <c r="Y924" s="5"/>
      <c r="Z924" s="5"/>
      <c r="AA924" s="6"/>
    </row>
    <row r="925" ht="51.75" customHeight="1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4"/>
      <c r="Y925" s="5"/>
      <c r="Z925" s="5"/>
      <c r="AA925" s="6"/>
    </row>
    <row r="926" ht="51.75" customHeight="1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4"/>
      <c r="Y926" s="5"/>
      <c r="Z926" s="5"/>
      <c r="AA926" s="6"/>
    </row>
    <row r="927" ht="51.75" customHeight="1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4"/>
      <c r="Y927" s="5"/>
      <c r="Z927" s="5"/>
      <c r="AA927" s="6"/>
    </row>
    <row r="928" ht="51.75" customHeight="1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4"/>
      <c r="Y928" s="5"/>
      <c r="Z928" s="5"/>
      <c r="AA928" s="6"/>
    </row>
    <row r="929" ht="51.75" customHeight="1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4"/>
      <c r="Y929" s="5"/>
      <c r="Z929" s="5"/>
      <c r="AA929" s="6"/>
    </row>
    <row r="930" ht="51.75" customHeight="1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4"/>
      <c r="Y930" s="5"/>
      <c r="Z930" s="5"/>
      <c r="AA930" s="6"/>
    </row>
    <row r="931" ht="51.75" customHeight="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4"/>
      <c r="Y931" s="5"/>
      <c r="Z931" s="5"/>
      <c r="AA931" s="6"/>
    </row>
    <row r="932" ht="51.75" customHeight="1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4"/>
      <c r="Y932" s="5"/>
      <c r="Z932" s="5"/>
      <c r="AA932" s="6"/>
    </row>
    <row r="933" ht="51.75" customHeight="1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4"/>
      <c r="Y933" s="5"/>
      <c r="Z933" s="5"/>
      <c r="AA933" s="6"/>
    </row>
    <row r="934" ht="51.75" customHeight="1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4"/>
      <c r="Y934" s="5"/>
      <c r="Z934" s="5"/>
      <c r="AA934" s="6"/>
    </row>
    <row r="935" ht="51.75" customHeight="1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4"/>
      <c r="Y935" s="5"/>
      <c r="Z935" s="5"/>
      <c r="AA935" s="6"/>
    </row>
    <row r="936" ht="51.75" customHeight="1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4"/>
      <c r="Y936" s="5"/>
      <c r="Z936" s="5"/>
      <c r="AA936" s="6"/>
    </row>
    <row r="937" ht="51.75" customHeight="1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4"/>
      <c r="Y937" s="5"/>
      <c r="Z937" s="5"/>
      <c r="AA937" s="6"/>
    </row>
    <row r="938" ht="51.75" customHeight="1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4"/>
      <c r="Y938" s="5"/>
      <c r="Z938" s="5"/>
      <c r="AA938" s="6"/>
    </row>
    <row r="939" ht="51.75" customHeight="1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4"/>
      <c r="Y939" s="5"/>
      <c r="Z939" s="5"/>
      <c r="AA939" s="6"/>
    </row>
    <row r="940" ht="51.75" customHeight="1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4"/>
      <c r="Y940" s="5"/>
      <c r="Z940" s="5"/>
      <c r="AA940" s="6"/>
    </row>
    <row r="941" ht="51.75" customHeight="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4"/>
      <c r="Y941" s="5"/>
      <c r="Z941" s="5"/>
      <c r="AA941" s="6"/>
    </row>
    <row r="942" ht="51.75" customHeight="1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4"/>
      <c r="Y942" s="5"/>
      <c r="Z942" s="5"/>
      <c r="AA942" s="6"/>
    </row>
    <row r="943" ht="51.75" customHeight="1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4"/>
      <c r="Y943" s="5"/>
      <c r="Z943" s="5"/>
      <c r="AA943" s="6"/>
    </row>
    <row r="944" ht="51.75" customHeight="1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4"/>
      <c r="Y944" s="5"/>
      <c r="Z944" s="5"/>
      <c r="AA944" s="6"/>
    </row>
    <row r="945" ht="51.75" customHeight="1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4"/>
      <c r="Y945" s="5"/>
      <c r="Z945" s="5"/>
      <c r="AA945" s="6"/>
    </row>
    <row r="946" ht="51.75" customHeight="1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4"/>
      <c r="Y946" s="5"/>
      <c r="Z946" s="5"/>
      <c r="AA946" s="6"/>
    </row>
    <row r="947" ht="51.75" customHeight="1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4"/>
      <c r="Y947" s="5"/>
      <c r="Z947" s="5"/>
      <c r="AA947" s="6"/>
    </row>
    <row r="948" ht="51.75" customHeight="1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4"/>
      <c r="Y948" s="5"/>
      <c r="Z948" s="5"/>
      <c r="AA948" s="6"/>
    </row>
    <row r="949" ht="51.75" customHeight="1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4"/>
      <c r="Y949" s="5"/>
      <c r="Z949" s="5"/>
      <c r="AA949" s="6"/>
    </row>
    <row r="950" ht="51.75" customHeight="1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4"/>
      <c r="Y950" s="5"/>
      <c r="Z950" s="5"/>
      <c r="AA950" s="6"/>
    </row>
    <row r="951" ht="51.75" customHeight="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4"/>
      <c r="Y951" s="5"/>
      <c r="Z951" s="5"/>
      <c r="AA951" s="6"/>
    </row>
    <row r="952" ht="51.75" customHeight="1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4"/>
      <c r="Y952" s="5"/>
      <c r="Z952" s="5"/>
      <c r="AA952" s="6"/>
    </row>
    <row r="953" ht="51.75" customHeight="1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4"/>
      <c r="Y953" s="5"/>
      <c r="Z953" s="5"/>
      <c r="AA953" s="6"/>
    </row>
    <row r="954" ht="51.75" customHeight="1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4"/>
      <c r="Y954" s="5"/>
      <c r="Z954" s="5"/>
      <c r="AA954" s="6"/>
    </row>
    <row r="955" ht="51.75" customHeight="1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4"/>
      <c r="Y955" s="5"/>
      <c r="Z955" s="5"/>
      <c r="AA955" s="6"/>
    </row>
    <row r="956" ht="51.75" customHeight="1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4"/>
      <c r="Y956" s="5"/>
      <c r="Z956" s="5"/>
      <c r="AA956" s="6"/>
    </row>
    <row r="957" ht="51.75" customHeight="1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4"/>
      <c r="Y957" s="5"/>
      <c r="Z957" s="5"/>
      <c r="AA957" s="6"/>
    </row>
    <row r="958" ht="51.75" customHeight="1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4"/>
      <c r="Y958" s="5"/>
      <c r="Z958" s="5"/>
      <c r="AA958" s="6"/>
    </row>
    <row r="959" ht="51.75" customHeight="1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4"/>
      <c r="Y959" s="5"/>
      <c r="Z959" s="5"/>
      <c r="AA959" s="6"/>
    </row>
    <row r="960" ht="51.75" customHeight="1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4"/>
      <c r="Y960" s="5"/>
      <c r="Z960" s="5"/>
      <c r="AA960" s="6"/>
    </row>
    <row r="961" ht="51.75" customHeight="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4"/>
      <c r="Y961" s="5"/>
      <c r="Z961" s="5"/>
      <c r="AA961" s="6"/>
    </row>
    <row r="962" ht="51.75" customHeight="1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4"/>
      <c r="Y962" s="5"/>
      <c r="Z962" s="5"/>
      <c r="AA962" s="6"/>
    </row>
    <row r="963" ht="51.75" customHeight="1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4"/>
      <c r="Y963" s="5"/>
      <c r="Z963" s="5"/>
      <c r="AA963" s="6"/>
    </row>
    <row r="964" ht="51.75" customHeight="1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4"/>
      <c r="Y964" s="5"/>
      <c r="Z964" s="5"/>
      <c r="AA964" s="6"/>
    </row>
    <row r="965" ht="51.75" customHeight="1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4"/>
      <c r="Y965" s="5"/>
      <c r="Z965" s="5"/>
      <c r="AA965" s="6"/>
    </row>
    <row r="966" ht="51.75" customHeight="1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4"/>
      <c r="Y966" s="5"/>
      <c r="Z966" s="5"/>
      <c r="AA966" s="6"/>
    </row>
    <row r="967" ht="51.75" customHeight="1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4"/>
      <c r="Y967" s="5"/>
      <c r="Z967" s="5"/>
      <c r="AA967" s="6"/>
    </row>
    <row r="968" ht="51.75" customHeight="1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4"/>
      <c r="Y968" s="5"/>
      <c r="Z968" s="5"/>
      <c r="AA968" s="6"/>
    </row>
    <row r="969" ht="51.75" customHeight="1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4"/>
      <c r="Y969" s="5"/>
      <c r="Z969" s="5"/>
      <c r="AA969" s="6"/>
    </row>
    <row r="970" ht="51.75" customHeight="1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4"/>
      <c r="Y970" s="5"/>
      <c r="Z970" s="5"/>
      <c r="AA970" s="6"/>
    </row>
    <row r="971" ht="51.75" customHeight="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4"/>
      <c r="Y971" s="5"/>
      <c r="Z971" s="5"/>
      <c r="AA971" s="6"/>
    </row>
    <row r="972" ht="51.75" customHeight="1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4"/>
      <c r="Y972" s="5"/>
      <c r="Z972" s="5"/>
      <c r="AA972" s="6"/>
    </row>
    <row r="973" ht="51.75" customHeight="1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4"/>
      <c r="Y973" s="5"/>
      <c r="Z973" s="5"/>
      <c r="AA973" s="6"/>
    </row>
    <row r="974" ht="51.75" customHeight="1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4"/>
      <c r="Y974" s="5"/>
      <c r="Z974" s="5"/>
      <c r="AA974" s="6"/>
    </row>
    <row r="975" ht="51.75" customHeight="1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4"/>
      <c r="Y975" s="5"/>
      <c r="Z975" s="5"/>
      <c r="AA975" s="6"/>
    </row>
    <row r="976" ht="51.75" customHeight="1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4"/>
      <c r="Y976" s="5"/>
      <c r="Z976" s="5"/>
      <c r="AA976" s="6"/>
    </row>
    <row r="977" ht="51.75" customHeight="1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4"/>
      <c r="Y977" s="5"/>
      <c r="Z977" s="5"/>
      <c r="AA977" s="6"/>
    </row>
    <row r="978" ht="51.75" customHeight="1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4"/>
      <c r="Y978" s="5"/>
      <c r="Z978" s="5"/>
      <c r="AA978" s="6"/>
    </row>
    <row r="979" ht="51.75" customHeight="1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4"/>
      <c r="Y979" s="5"/>
      <c r="Z979" s="5"/>
      <c r="AA979" s="6"/>
    </row>
    <row r="980" ht="51.75" customHeight="1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4"/>
      <c r="Y980" s="5"/>
      <c r="Z980" s="5"/>
      <c r="AA980" s="6"/>
    </row>
    <row r="981" ht="51.75" customHeight="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4"/>
      <c r="Y981" s="5"/>
      <c r="Z981" s="5"/>
      <c r="AA981" s="6"/>
    </row>
    <row r="982" ht="51.75" customHeight="1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4"/>
      <c r="Y982" s="5"/>
      <c r="Z982" s="5"/>
      <c r="AA982" s="6"/>
    </row>
    <row r="983" ht="51.75" customHeight="1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4"/>
      <c r="Y983" s="5"/>
      <c r="Z983" s="5"/>
      <c r="AA983" s="6"/>
    </row>
    <row r="984" ht="51.75" customHeight="1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4"/>
      <c r="Y984" s="5"/>
      <c r="Z984" s="5"/>
      <c r="AA984" s="6"/>
    </row>
    <row r="985" ht="51.75" customHeight="1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4"/>
      <c r="Y985" s="5"/>
      <c r="Z985" s="5"/>
      <c r="AA985" s="6"/>
    </row>
    <row r="986" ht="51.75" customHeight="1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4"/>
      <c r="Y986" s="5"/>
      <c r="Z986" s="5"/>
      <c r="AA986" s="6"/>
    </row>
    <row r="987" ht="51.75" customHeight="1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4"/>
      <c r="Y987" s="5"/>
      <c r="Z987" s="5"/>
      <c r="AA987" s="6"/>
    </row>
    <row r="988" ht="51.75" customHeight="1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4"/>
      <c r="Y988" s="5"/>
      <c r="Z988" s="5"/>
      <c r="AA988" s="6"/>
    </row>
    <row r="989" ht="51.75" customHeight="1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4"/>
      <c r="Y989" s="5"/>
      <c r="Z989" s="5"/>
      <c r="AA989" s="6"/>
    </row>
    <row r="990" ht="51.75" customHeight="1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4"/>
      <c r="Y990" s="5"/>
      <c r="Z990" s="5"/>
      <c r="AA990" s="6"/>
    </row>
    <row r="991" ht="51.75" customHeight="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4"/>
      <c r="Y991" s="5"/>
      <c r="Z991" s="5"/>
      <c r="AA991" s="6"/>
    </row>
    <row r="992" ht="51.75" customHeight="1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4"/>
      <c r="Y992" s="5"/>
      <c r="Z992" s="5"/>
      <c r="AA992" s="6"/>
    </row>
    <row r="993" ht="51.75" customHeight="1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4"/>
      <c r="Y993" s="5"/>
      <c r="Z993" s="5"/>
      <c r="AA993" s="6"/>
    </row>
    <row r="994" ht="51.75" customHeight="1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4"/>
      <c r="Y994" s="5"/>
      <c r="Z994" s="5"/>
      <c r="AA994" s="6"/>
    </row>
    <row r="995" ht="51.75" customHeight="1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4"/>
      <c r="Y995" s="5"/>
      <c r="Z995" s="5"/>
      <c r="AA995" s="6"/>
    </row>
    <row r="996" ht="51.75" customHeight="1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4"/>
      <c r="Y996" s="5"/>
      <c r="Z996" s="5"/>
      <c r="AA996" s="6"/>
    </row>
    <row r="997" ht="51.75" customHeight="1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4"/>
      <c r="Y997" s="5"/>
      <c r="Z997" s="5"/>
      <c r="AA997" s="6"/>
    </row>
    <row r="998" ht="51.75" customHeight="1">
      <c r="A998" s="1"/>
      <c r="B998" s="1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4"/>
      <c r="Y998" s="5"/>
      <c r="Z998" s="5"/>
      <c r="AA998" s="6"/>
    </row>
    <row r="999" ht="51.75" customHeight="1">
      <c r="A999" s="1"/>
      <c r="B999" s="1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4"/>
      <c r="Y999" s="5"/>
      <c r="Z999" s="5"/>
      <c r="AA999" s="6"/>
    </row>
    <row r="1000" ht="51.75" customHeight="1">
      <c r="A1000" s="1"/>
      <c r="B1000" s="1"/>
      <c r="C1000" s="2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4"/>
      <c r="Y1000" s="5"/>
      <c r="Z1000" s="5"/>
      <c r="AA1000" s="6"/>
    </row>
  </sheetData>
  <mergeCells count="34">
    <mergeCell ref="B14:B15"/>
    <mergeCell ref="C14:C15"/>
    <mergeCell ref="D14:D15"/>
    <mergeCell ref="E14:E15"/>
    <mergeCell ref="F14:F15"/>
    <mergeCell ref="G14:G15"/>
    <mergeCell ref="H14:H15"/>
    <mergeCell ref="B17:C17"/>
    <mergeCell ref="Z14:Z15"/>
    <mergeCell ref="AA14:AA15"/>
    <mergeCell ref="Q14:R15"/>
    <mergeCell ref="S14:S15"/>
    <mergeCell ref="T14:T15"/>
    <mergeCell ref="U14:U15"/>
    <mergeCell ref="V14:V15"/>
    <mergeCell ref="X14:X15"/>
    <mergeCell ref="Y14:Y15"/>
    <mergeCell ref="I14:I15"/>
    <mergeCell ref="J14:J15"/>
    <mergeCell ref="K14:K15"/>
    <mergeCell ref="L14:L15"/>
    <mergeCell ref="M14:M15"/>
    <mergeCell ref="N14:N15"/>
    <mergeCell ref="O14:O15"/>
    <mergeCell ref="B36:V36"/>
    <mergeCell ref="B37:V37"/>
    <mergeCell ref="B38:V38"/>
    <mergeCell ref="K18:K21"/>
    <mergeCell ref="B22:R22"/>
    <mergeCell ref="B24:C24"/>
    <mergeCell ref="K25:K28"/>
    <mergeCell ref="B29:R29"/>
    <mergeCell ref="B31:C31"/>
    <mergeCell ref="B33:R33"/>
  </mergeCells>
  <conditionalFormatting sqref="C6:D7 Q18:R21 Q25:R28 Q32:R32">
    <cfRule type="containsBlanks" dxfId="0" priority="1">
      <formula>LEN(TRIM(C6))=0</formula>
    </cfRule>
  </conditionalFormatting>
  <conditionalFormatting sqref="C9:D12">
    <cfRule type="containsBlanks" dxfId="0" priority="2">
      <formula>LEN(TRIM(C9))=0</formula>
    </cfRule>
  </conditionalFormatting>
  <conditionalFormatting sqref="W12">
    <cfRule type="expression" dxfId="1" priority="3">
      <formula>ISNUMBER(SEARCH("ADDED VALUE",W12))=TRUE</formula>
    </cfRule>
  </conditionalFormatting>
  <conditionalFormatting sqref="W13:W35">
    <cfRule type="cellIs" dxfId="2" priority="4" operator="equal">
      <formula>#REF!</formula>
    </cfRule>
  </conditionalFormatting>
  <conditionalFormatting sqref="W13:W35">
    <cfRule type="expression" dxfId="2" priority="5">
      <formula>IF(#REF!=#REF!,"ADDED VALUE"=TRUE)</formula>
    </cfRule>
  </conditionalFormatting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26.0"/>
    <col customWidth="1" min="3" max="3" width="35.38"/>
    <col customWidth="1" min="4" max="4" width="31.88"/>
    <col customWidth="1" min="5" max="5" width="24.5"/>
    <col customWidth="1" min="6" max="6" width="18.5"/>
    <col customWidth="1" min="7" max="26" width="9.88"/>
  </cols>
  <sheetData>
    <row r="1" ht="19.5" customHeight="1">
      <c r="A1" s="1"/>
      <c r="B1" s="1"/>
      <c r="C1" s="2"/>
      <c r="D1" s="1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2"/>
      <c r="D2" s="1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"/>
      <c r="C3" s="2"/>
      <c r="D3" s="1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2"/>
      <c r="D4" s="1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"/>
      <c r="C5" s="2"/>
      <c r="D5" s="1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0"/>
      <c r="B6" s="12" t="s">
        <v>3</v>
      </c>
      <c r="C6" s="14" t="s">
        <v>4</v>
      </c>
      <c r="D6" s="10"/>
      <c r="E6" s="2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10"/>
      <c r="B7" s="12" t="s">
        <v>7</v>
      </c>
      <c r="C7" s="18" t="s">
        <v>8</v>
      </c>
      <c r="D7" s="10"/>
      <c r="E7" s="2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10"/>
      <c r="B8" s="12" t="s">
        <v>9</v>
      </c>
      <c r="C8" s="24" t="s">
        <v>11</v>
      </c>
      <c r="D8" s="10"/>
      <c r="E8" s="2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28"/>
      <c r="B9" s="12" t="s">
        <v>15</v>
      </c>
      <c r="C9" s="14" t="s">
        <v>16</v>
      </c>
      <c r="D9" s="10"/>
      <c r="E9" s="31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9.5" customHeight="1">
      <c r="A10" s="28"/>
      <c r="B10" s="12" t="s">
        <v>19</v>
      </c>
      <c r="C10" s="32" t="s">
        <v>20</v>
      </c>
      <c r="D10" s="10"/>
      <c r="E10" s="35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9.5" customHeight="1">
      <c r="A11" s="28"/>
      <c r="B11" s="12" t="s">
        <v>21</v>
      </c>
      <c r="C11" s="14" t="str">
        <f>'[36]Approval Form'!C10</f>
        <v>#REF!</v>
      </c>
      <c r="D11" s="10"/>
      <c r="E11" s="31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9.5" customHeight="1">
      <c r="A12" s="28"/>
      <c r="B12" s="38" t="s">
        <v>23</v>
      </c>
      <c r="C12" s="41">
        <f>TODAY()</f>
        <v>46258</v>
      </c>
      <c r="D12" s="10"/>
      <c r="E12" s="31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0" customHeight="1">
      <c r="A13" s="28"/>
      <c r="B13" s="10"/>
      <c r="C13" s="46"/>
      <c r="D13" s="10"/>
      <c r="E13" s="31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0" customHeight="1">
      <c r="A14" s="1"/>
      <c r="B14" s="49" t="s">
        <v>25</v>
      </c>
      <c r="C14" s="49" t="s">
        <v>27</v>
      </c>
      <c r="D14" s="49" t="s">
        <v>34</v>
      </c>
      <c r="E14" s="63" t="s">
        <v>154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56"/>
      <c r="C15" s="56"/>
      <c r="D15" s="56"/>
      <c r="E15" s="5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148" t="s">
        <v>81</v>
      </c>
      <c r="C16" s="148" t="s">
        <v>59</v>
      </c>
      <c r="D16" s="148" t="s">
        <v>62</v>
      </c>
      <c r="E16" s="90">
        <v>26320.0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148" t="s">
        <v>76</v>
      </c>
      <c r="C17" s="148" t="s">
        <v>93</v>
      </c>
      <c r="D17" s="148" t="s">
        <v>62</v>
      </c>
      <c r="E17" s="90">
        <v>25944.0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148" t="s">
        <v>95</v>
      </c>
      <c r="C18" s="148" t="s">
        <v>96</v>
      </c>
      <c r="D18" s="148" t="s">
        <v>98</v>
      </c>
      <c r="E18" s="90">
        <v>52640.0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85.5" customHeight="1">
      <c r="A19" s="1"/>
      <c r="B19" s="148" t="s">
        <v>115</v>
      </c>
      <c r="C19" s="148" t="s">
        <v>118</v>
      </c>
      <c r="D19" s="148" t="s">
        <v>62</v>
      </c>
      <c r="E19" s="90">
        <v>35344.0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85.5" customHeight="1">
      <c r="A20" s="1"/>
      <c r="B20" s="148" t="s">
        <v>66</v>
      </c>
      <c r="C20" s="148" t="s">
        <v>59</v>
      </c>
      <c r="D20" s="148" t="s">
        <v>62</v>
      </c>
      <c r="E20" s="90" t="s">
        <v>162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96" t="s">
        <v>163</v>
      </c>
      <c r="C21" s="97"/>
      <c r="D21" s="158"/>
      <c r="E21" s="101">
        <f>SUM(E16:E19)</f>
        <v>140248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6"/>
      <c r="B23" s="1"/>
      <c r="C23" s="2"/>
      <c r="D23" s="1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6"/>
      <c r="B24" s="1"/>
      <c r="C24" s="2"/>
      <c r="D24" s="1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52.5" customHeight="1">
      <c r="A25" s="6"/>
      <c r="B25" s="1"/>
      <c r="C25" s="2"/>
      <c r="D25" s="1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6"/>
      <c r="B26" s="1"/>
      <c r="C26" s="2"/>
      <c r="D26" s="1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6"/>
      <c r="B27" s="1"/>
      <c r="C27" s="2"/>
      <c r="D27" s="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6"/>
      <c r="B28" s="1"/>
      <c r="C28" s="2"/>
      <c r="D28" s="1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6"/>
      <c r="B29" s="1"/>
      <c r="C29" s="2"/>
      <c r="D29" s="1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6"/>
      <c r="B30" s="1"/>
      <c r="C30" s="2"/>
      <c r="D30" s="1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6"/>
      <c r="B31" s="1"/>
      <c r="C31" s="2"/>
      <c r="D31" s="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6"/>
      <c r="B32" s="1"/>
      <c r="C32" s="2"/>
      <c r="D32" s="1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6"/>
      <c r="B33" s="1"/>
      <c r="C33" s="2"/>
      <c r="D33" s="1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6"/>
      <c r="B34" s="1"/>
      <c r="C34" s="2"/>
      <c r="D34" s="1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6"/>
      <c r="B35" s="1"/>
      <c r="C35" s="2"/>
      <c r="D35" s="1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6"/>
      <c r="B36" s="1"/>
      <c r="C36" s="2"/>
      <c r="D36" s="1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6"/>
      <c r="B37" s="1"/>
      <c r="C37" s="2"/>
      <c r="D37" s="1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6"/>
      <c r="B38" s="1"/>
      <c r="C38" s="2"/>
      <c r="D38" s="1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51.75" customHeight="1">
      <c r="A39" s="1"/>
      <c r="B39" s="1"/>
      <c r="C39" s="2"/>
      <c r="D39" s="1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1.75" customHeight="1">
      <c r="A40" s="1"/>
      <c r="B40" s="1"/>
      <c r="C40" s="2"/>
      <c r="D40" s="1"/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1.75" customHeight="1">
      <c r="A41" s="1"/>
      <c r="B41" s="1"/>
      <c r="C41" s="2"/>
      <c r="D41" s="1"/>
      <c r="E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1.75" customHeight="1">
      <c r="A42" s="1"/>
      <c r="B42" s="1"/>
      <c r="C42" s="2"/>
      <c r="D42" s="1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1.75" customHeight="1">
      <c r="A43" s="1"/>
      <c r="B43" s="1"/>
      <c r="C43" s="2"/>
      <c r="D43" s="1"/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51.75" customHeight="1">
      <c r="A44" s="1"/>
      <c r="B44" s="1"/>
      <c r="C44" s="2"/>
      <c r="D44" s="1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51.75" customHeight="1">
      <c r="A45" s="1"/>
      <c r="B45" s="1"/>
      <c r="C45" s="2"/>
      <c r="D45" s="1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1.75" customHeight="1">
      <c r="A46" s="1"/>
      <c r="B46" s="1"/>
      <c r="C46" s="2"/>
      <c r="D46" s="1"/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51.75" customHeight="1">
      <c r="A47" s="1"/>
      <c r="B47" s="1"/>
      <c r="C47" s="2"/>
      <c r="D47" s="1"/>
      <c r="E47" s="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51.75" customHeight="1">
      <c r="A48" s="1"/>
      <c r="B48" s="1"/>
      <c r="C48" s="2"/>
      <c r="D48" s="1"/>
      <c r="E48" s="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51.75" customHeight="1">
      <c r="A49" s="1"/>
      <c r="B49" s="1"/>
      <c r="C49" s="2"/>
      <c r="D49" s="1"/>
      <c r="E49" s="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1.75" customHeight="1">
      <c r="A50" s="1"/>
      <c r="B50" s="1"/>
      <c r="C50" s="2"/>
      <c r="D50" s="1"/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1.75" customHeight="1">
      <c r="A51" s="1"/>
      <c r="B51" s="1"/>
      <c r="C51" s="2"/>
      <c r="D51" s="1"/>
      <c r="E51" s="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51.75" customHeight="1">
      <c r="A52" s="1"/>
      <c r="B52" s="1"/>
      <c r="C52" s="2"/>
      <c r="D52" s="1"/>
      <c r="E52" s="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1.75" customHeight="1">
      <c r="A53" s="1"/>
      <c r="B53" s="1"/>
      <c r="C53" s="2"/>
      <c r="D53" s="1"/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1.75" customHeight="1">
      <c r="A54" s="1"/>
      <c r="B54" s="1"/>
      <c r="C54" s="2"/>
      <c r="D54" s="1"/>
      <c r="E54" s="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51.75" customHeight="1">
      <c r="A55" s="1"/>
      <c r="B55" s="1"/>
      <c r="C55" s="2"/>
      <c r="D55" s="1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51.75" customHeight="1">
      <c r="A56" s="1"/>
      <c r="B56" s="1"/>
      <c r="C56" s="2"/>
      <c r="D56" s="1"/>
      <c r="E56" s="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51.75" customHeight="1">
      <c r="A57" s="1"/>
      <c r="B57" s="1"/>
      <c r="C57" s="2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1.75" customHeight="1">
      <c r="A58" s="1"/>
      <c r="B58" s="1"/>
      <c r="C58" s="2"/>
      <c r="D58" s="1"/>
      <c r="E58" s="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51.75" customHeight="1">
      <c r="A59" s="1"/>
      <c r="B59" s="1"/>
      <c r="C59" s="2"/>
      <c r="D59" s="1"/>
      <c r="E59" s="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51.75" customHeight="1">
      <c r="A60" s="1"/>
      <c r="B60" s="1"/>
      <c r="C60" s="2"/>
      <c r="D60" s="1"/>
      <c r="E60" s="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51.75" customHeight="1">
      <c r="A61" s="1"/>
      <c r="B61" s="1"/>
      <c r="C61" s="2"/>
      <c r="D61" s="1"/>
      <c r="E61" s="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51.75" customHeight="1">
      <c r="A62" s="1"/>
      <c r="B62" s="1"/>
      <c r="C62" s="2"/>
      <c r="D62" s="1"/>
      <c r="E62" s="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51.75" customHeight="1">
      <c r="A63" s="1"/>
      <c r="B63" s="1"/>
      <c r="C63" s="2"/>
      <c r="D63" s="1"/>
      <c r="E63" s="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51.75" customHeight="1">
      <c r="A64" s="1"/>
      <c r="B64" s="1"/>
      <c r="C64" s="2"/>
      <c r="D64" s="1"/>
      <c r="E64" s="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51.75" customHeight="1">
      <c r="A65" s="1"/>
      <c r="B65" s="1"/>
      <c r="C65" s="2"/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1.75" customHeight="1">
      <c r="A66" s="1"/>
      <c r="B66" s="1"/>
      <c r="C66" s="2"/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51.75" customHeight="1">
      <c r="A67" s="1"/>
      <c r="B67" s="1"/>
      <c r="C67" s="2"/>
      <c r="D67" s="1"/>
      <c r="E67" s="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1.75" customHeight="1">
      <c r="A68" s="1"/>
      <c r="B68" s="1"/>
      <c r="C68" s="2"/>
      <c r="D68" s="1"/>
      <c r="E68" s="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51.75" customHeight="1">
      <c r="A69" s="1"/>
      <c r="B69" s="1"/>
      <c r="C69" s="2"/>
      <c r="D69" s="1"/>
      <c r="E69" s="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51.75" customHeight="1">
      <c r="A70" s="1"/>
      <c r="B70" s="1"/>
      <c r="C70" s="2"/>
      <c r="D70" s="1"/>
      <c r="E70" s="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51.75" customHeight="1">
      <c r="A71" s="1"/>
      <c r="B71" s="1"/>
      <c r="C71" s="2"/>
      <c r="D71" s="1"/>
      <c r="E71" s="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51.75" customHeight="1">
      <c r="A72" s="1"/>
      <c r="B72" s="1"/>
      <c r="C72" s="2"/>
      <c r="D72" s="1"/>
      <c r="E72" s="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51.75" customHeight="1">
      <c r="A73" s="1"/>
      <c r="B73" s="1"/>
      <c r="C73" s="2"/>
      <c r="D73" s="1"/>
      <c r="E73" s="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51.75" customHeight="1">
      <c r="A74" s="1"/>
      <c r="B74" s="1"/>
      <c r="C74" s="2"/>
      <c r="D74" s="1"/>
      <c r="E74" s="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51.75" customHeight="1">
      <c r="A75" s="1"/>
      <c r="B75" s="1"/>
      <c r="C75" s="2"/>
      <c r="D75" s="1"/>
      <c r="E75" s="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1.75" customHeight="1">
      <c r="A76" s="1"/>
      <c r="B76" s="1"/>
      <c r="C76" s="2"/>
      <c r="D76" s="1"/>
      <c r="E76" s="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51.75" customHeight="1">
      <c r="A77" s="1"/>
      <c r="B77" s="1"/>
      <c r="C77" s="2"/>
      <c r="D77" s="1"/>
      <c r="E77" s="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51.75" customHeight="1">
      <c r="A78" s="1"/>
      <c r="B78" s="1"/>
      <c r="C78" s="2"/>
      <c r="D78" s="1"/>
      <c r="E78" s="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51.75" customHeight="1">
      <c r="A79" s="1"/>
      <c r="B79" s="1"/>
      <c r="C79" s="2"/>
      <c r="D79" s="1"/>
      <c r="E79" s="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51.75" customHeight="1">
      <c r="A80" s="1"/>
      <c r="B80" s="1"/>
      <c r="C80" s="2"/>
      <c r="D80" s="1"/>
      <c r="E80" s="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51.75" customHeight="1">
      <c r="A81" s="1"/>
      <c r="B81" s="1"/>
      <c r="C81" s="2"/>
      <c r="D81" s="1"/>
      <c r="E81" s="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51.75" customHeight="1">
      <c r="A82" s="1"/>
      <c r="B82" s="1"/>
      <c r="C82" s="2"/>
      <c r="D82" s="1"/>
      <c r="E82" s="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51.75" customHeight="1">
      <c r="A83" s="1"/>
      <c r="B83" s="1"/>
      <c r="C83" s="2"/>
      <c r="D83" s="1"/>
      <c r="E83" s="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51.75" customHeight="1">
      <c r="A84" s="1"/>
      <c r="B84" s="1"/>
      <c r="C84" s="2"/>
      <c r="D84" s="1"/>
      <c r="E84" s="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51.75" customHeight="1">
      <c r="A85" s="1"/>
      <c r="B85" s="1"/>
      <c r="C85" s="2"/>
      <c r="D85" s="1"/>
      <c r="E85" s="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51.75" customHeight="1">
      <c r="A86" s="1"/>
      <c r="B86" s="1"/>
      <c r="C86" s="2"/>
      <c r="D86" s="1"/>
      <c r="E86" s="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51.75" customHeight="1">
      <c r="A87" s="1"/>
      <c r="B87" s="1"/>
      <c r="C87" s="2"/>
      <c r="D87" s="1"/>
      <c r="E87" s="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51.75" customHeight="1">
      <c r="A88" s="1"/>
      <c r="B88" s="1"/>
      <c r="C88" s="2"/>
      <c r="D88" s="1"/>
      <c r="E88" s="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51.75" customHeight="1">
      <c r="A89" s="1"/>
      <c r="B89" s="1"/>
      <c r="C89" s="2"/>
      <c r="D89" s="1"/>
      <c r="E89" s="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51.75" customHeight="1">
      <c r="A90" s="1"/>
      <c r="B90" s="1"/>
      <c r="C90" s="2"/>
      <c r="D90" s="1"/>
      <c r="E90" s="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51.75" customHeight="1">
      <c r="A91" s="1"/>
      <c r="B91" s="1"/>
      <c r="C91" s="2"/>
      <c r="D91" s="1"/>
      <c r="E91" s="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51.75" customHeight="1">
      <c r="A92" s="1"/>
      <c r="B92" s="1"/>
      <c r="C92" s="2"/>
      <c r="D92" s="1"/>
      <c r="E92" s="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51.75" customHeight="1">
      <c r="A93" s="1"/>
      <c r="B93" s="1"/>
      <c r="C93" s="2"/>
      <c r="D93" s="1"/>
      <c r="E93" s="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51.75" customHeight="1">
      <c r="A94" s="1"/>
      <c r="B94" s="1"/>
      <c r="C94" s="2"/>
      <c r="D94" s="1"/>
      <c r="E94" s="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51.75" customHeight="1">
      <c r="A95" s="1"/>
      <c r="B95" s="1"/>
      <c r="C95" s="2"/>
      <c r="D95" s="1"/>
      <c r="E95" s="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1.75" customHeight="1">
      <c r="A96" s="1"/>
      <c r="B96" s="1"/>
      <c r="C96" s="2"/>
      <c r="D96" s="1"/>
      <c r="E96" s="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51.75" customHeight="1">
      <c r="A97" s="1"/>
      <c r="B97" s="1"/>
      <c r="C97" s="2"/>
      <c r="D97" s="1"/>
      <c r="E97" s="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51.75" customHeight="1">
      <c r="A98" s="1"/>
      <c r="B98" s="1"/>
      <c r="C98" s="2"/>
      <c r="D98" s="1"/>
      <c r="E98" s="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51.75" customHeight="1">
      <c r="A99" s="1"/>
      <c r="B99" s="1"/>
      <c r="C99" s="2"/>
      <c r="D99" s="1"/>
      <c r="E99" s="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51.75" customHeight="1">
      <c r="A100" s="1"/>
      <c r="B100" s="1"/>
      <c r="C100" s="2"/>
      <c r="D100" s="1"/>
      <c r="E100" s="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51.75" customHeight="1">
      <c r="A101" s="1"/>
      <c r="B101" s="1"/>
      <c r="C101" s="2"/>
      <c r="D101" s="1"/>
      <c r="E101" s="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51.75" customHeight="1">
      <c r="A102" s="1"/>
      <c r="B102" s="1"/>
      <c r="C102" s="2"/>
      <c r="D102" s="1"/>
      <c r="E102" s="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51.75" customHeight="1">
      <c r="A103" s="1"/>
      <c r="B103" s="1"/>
      <c r="C103" s="2"/>
      <c r="D103" s="1"/>
      <c r="E103" s="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51.75" customHeight="1">
      <c r="A104" s="1"/>
      <c r="B104" s="1"/>
      <c r="C104" s="2"/>
      <c r="D104" s="1"/>
      <c r="E104" s="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51.75" customHeight="1">
      <c r="A105" s="1"/>
      <c r="B105" s="1"/>
      <c r="C105" s="2"/>
      <c r="D105" s="1"/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51.75" customHeight="1">
      <c r="A106" s="1"/>
      <c r="B106" s="1"/>
      <c r="C106" s="2"/>
      <c r="D106" s="1"/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51.75" customHeight="1">
      <c r="A107" s="1"/>
      <c r="B107" s="1"/>
      <c r="C107" s="2"/>
      <c r="D107" s="1"/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51.75" customHeight="1">
      <c r="A108" s="1"/>
      <c r="B108" s="1"/>
      <c r="C108" s="2"/>
      <c r="D108" s="1"/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51.75" customHeight="1">
      <c r="A109" s="1"/>
      <c r="B109" s="1"/>
      <c r="C109" s="2"/>
      <c r="D109" s="1"/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51.75" customHeight="1">
      <c r="A110" s="1"/>
      <c r="B110" s="1"/>
      <c r="C110" s="2"/>
      <c r="D110" s="1"/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51.75" customHeight="1">
      <c r="A111" s="1"/>
      <c r="B111" s="1"/>
      <c r="C111" s="2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51.75" customHeight="1">
      <c r="A112" s="1"/>
      <c r="B112" s="1"/>
      <c r="C112" s="2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51.75" customHeight="1">
      <c r="A113" s="1"/>
      <c r="B113" s="1"/>
      <c r="C113" s="2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51.75" customHeight="1">
      <c r="A114" s="1"/>
      <c r="B114" s="1"/>
      <c r="C114" s="2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51.75" customHeight="1">
      <c r="A115" s="1"/>
      <c r="B115" s="1"/>
      <c r="C115" s="2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51.75" customHeight="1">
      <c r="A116" s="1"/>
      <c r="B116" s="1"/>
      <c r="C116" s="2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51.75" customHeight="1">
      <c r="A117" s="1"/>
      <c r="B117" s="1"/>
      <c r="C117" s="2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51.75" customHeight="1">
      <c r="A118" s="1"/>
      <c r="B118" s="1"/>
      <c r="C118" s="2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51.75" customHeight="1">
      <c r="A119" s="1"/>
      <c r="B119" s="1"/>
      <c r="C119" s="2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51.75" customHeight="1">
      <c r="A120" s="1"/>
      <c r="B120" s="1"/>
      <c r="C120" s="2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51.75" customHeight="1">
      <c r="A121" s="1"/>
      <c r="B121" s="1"/>
      <c r="C121" s="2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51.75" customHeight="1">
      <c r="A122" s="1"/>
      <c r="B122" s="1"/>
      <c r="C122" s="2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51.75" customHeight="1">
      <c r="A123" s="1"/>
      <c r="B123" s="1"/>
      <c r="C123" s="2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51.75" customHeight="1">
      <c r="A124" s="1"/>
      <c r="B124" s="1"/>
      <c r="C124" s="2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51.75" customHeight="1">
      <c r="A125" s="1"/>
      <c r="B125" s="1"/>
      <c r="C125" s="2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51.75" customHeight="1">
      <c r="A126" s="1"/>
      <c r="B126" s="1"/>
      <c r="C126" s="2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51.75" customHeight="1">
      <c r="A127" s="1"/>
      <c r="B127" s="1"/>
      <c r="C127" s="2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51.75" customHeight="1">
      <c r="A128" s="1"/>
      <c r="B128" s="1"/>
      <c r="C128" s="2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51.75" customHeight="1">
      <c r="A129" s="1"/>
      <c r="B129" s="1"/>
      <c r="C129" s="2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51.75" customHeight="1">
      <c r="A130" s="1"/>
      <c r="B130" s="1"/>
      <c r="C130" s="2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51.75" customHeight="1">
      <c r="A131" s="1"/>
      <c r="B131" s="1"/>
      <c r="C131" s="2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51.75" customHeight="1">
      <c r="A132" s="1"/>
      <c r="B132" s="1"/>
      <c r="C132" s="2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51.75" customHeight="1">
      <c r="A133" s="1"/>
      <c r="B133" s="1"/>
      <c r="C133" s="2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51.75" customHeight="1">
      <c r="A134" s="1"/>
      <c r="B134" s="1"/>
      <c r="C134" s="2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51.75" customHeight="1">
      <c r="A135" s="1"/>
      <c r="B135" s="1"/>
      <c r="C135" s="2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51.75" customHeight="1">
      <c r="A136" s="1"/>
      <c r="B136" s="1"/>
      <c r="C136" s="2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51.75" customHeight="1">
      <c r="A137" s="1"/>
      <c r="B137" s="1"/>
      <c r="C137" s="2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51.75" customHeight="1">
      <c r="A138" s="1"/>
      <c r="B138" s="1"/>
      <c r="C138" s="2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51.75" customHeight="1">
      <c r="A139" s="1"/>
      <c r="B139" s="1"/>
      <c r="C139" s="2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51.75" customHeight="1">
      <c r="A140" s="1"/>
      <c r="B140" s="1"/>
      <c r="C140" s="2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51.75" customHeight="1">
      <c r="A141" s="1"/>
      <c r="B141" s="1"/>
      <c r="C141" s="2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51.75" customHeight="1">
      <c r="A142" s="1"/>
      <c r="B142" s="1"/>
      <c r="C142" s="2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51.75" customHeight="1">
      <c r="A143" s="1"/>
      <c r="B143" s="1"/>
      <c r="C143" s="2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51.75" customHeight="1">
      <c r="A144" s="1"/>
      <c r="B144" s="1"/>
      <c r="C144" s="2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51.75" customHeight="1">
      <c r="A145" s="1"/>
      <c r="B145" s="1"/>
      <c r="C145" s="2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51.75" customHeight="1">
      <c r="A146" s="1"/>
      <c r="B146" s="1"/>
      <c r="C146" s="2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51.75" customHeight="1">
      <c r="A147" s="1"/>
      <c r="B147" s="1"/>
      <c r="C147" s="2"/>
      <c r="D147" s="1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51.75" customHeight="1">
      <c r="A148" s="1"/>
      <c r="B148" s="1"/>
      <c r="C148" s="2"/>
      <c r="D148" s="1"/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51.75" customHeight="1">
      <c r="A149" s="1"/>
      <c r="B149" s="1"/>
      <c r="C149" s="2"/>
      <c r="D149" s="1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51.75" customHeight="1">
      <c r="A150" s="1"/>
      <c r="B150" s="1"/>
      <c r="C150" s="2"/>
      <c r="D150" s="1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51.75" customHeight="1">
      <c r="A151" s="1"/>
      <c r="B151" s="1"/>
      <c r="C151" s="2"/>
      <c r="D151" s="1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51.75" customHeight="1">
      <c r="A152" s="1"/>
      <c r="B152" s="1"/>
      <c r="C152" s="2"/>
      <c r="D152" s="1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51.75" customHeight="1">
      <c r="A153" s="1"/>
      <c r="B153" s="1"/>
      <c r="C153" s="2"/>
      <c r="D153" s="1"/>
      <c r="E153" s="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51.75" customHeight="1">
      <c r="A154" s="1"/>
      <c r="B154" s="1"/>
      <c r="C154" s="2"/>
      <c r="D154" s="1"/>
      <c r="E154" s="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51.75" customHeight="1">
      <c r="A155" s="1"/>
      <c r="B155" s="1"/>
      <c r="C155" s="2"/>
      <c r="D155" s="1"/>
      <c r="E155" s="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51.75" customHeight="1">
      <c r="A156" s="1"/>
      <c r="B156" s="1"/>
      <c r="C156" s="2"/>
      <c r="D156" s="1"/>
      <c r="E156" s="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51.75" customHeight="1">
      <c r="A157" s="1"/>
      <c r="B157" s="1"/>
      <c r="C157" s="2"/>
      <c r="D157" s="1"/>
      <c r="E157" s="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51.75" customHeight="1">
      <c r="A158" s="1"/>
      <c r="B158" s="1"/>
      <c r="C158" s="2"/>
      <c r="D158" s="1"/>
      <c r="E158" s="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51.75" customHeight="1">
      <c r="A159" s="1"/>
      <c r="B159" s="1"/>
      <c r="C159" s="2"/>
      <c r="D159" s="1"/>
      <c r="E159" s="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51.75" customHeight="1">
      <c r="A160" s="1"/>
      <c r="B160" s="1"/>
      <c r="C160" s="2"/>
      <c r="D160" s="1"/>
      <c r="E160" s="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51.75" customHeight="1">
      <c r="A161" s="1"/>
      <c r="B161" s="1"/>
      <c r="C161" s="2"/>
      <c r="D161" s="1"/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51.75" customHeight="1">
      <c r="A162" s="1"/>
      <c r="B162" s="1"/>
      <c r="C162" s="2"/>
      <c r="D162" s="1"/>
      <c r="E162" s="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51.75" customHeight="1">
      <c r="A163" s="1"/>
      <c r="B163" s="1"/>
      <c r="C163" s="2"/>
      <c r="D163" s="1"/>
      <c r="E163" s="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51.75" customHeight="1">
      <c r="A164" s="1"/>
      <c r="B164" s="1"/>
      <c r="C164" s="2"/>
      <c r="D164" s="1"/>
      <c r="E164" s="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51.75" customHeight="1">
      <c r="A165" s="1"/>
      <c r="B165" s="1"/>
      <c r="C165" s="2"/>
      <c r="D165" s="1"/>
      <c r="E165" s="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51.75" customHeight="1">
      <c r="A166" s="1"/>
      <c r="B166" s="1"/>
      <c r="C166" s="2"/>
      <c r="D166" s="1"/>
      <c r="E166" s="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51.75" customHeight="1">
      <c r="A167" s="1"/>
      <c r="B167" s="1"/>
      <c r="C167" s="2"/>
      <c r="D167" s="1"/>
      <c r="E167" s="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51.75" customHeight="1">
      <c r="A168" s="1"/>
      <c r="B168" s="1"/>
      <c r="C168" s="2"/>
      <c r="D168" s="1"/>
      <c r="E168" s="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51.75" customHeight="1">
      <c r="A169" s="1"/>
      <c r="B169" s="1"/>
      <c r="C169" s="2"/>
      <c r="D169" s="1"/>
      <c r="E169" s="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51.75" customHeight="1">
      <c r="A170" s="1"/>
      <c r="B170" s="1"/>
      <c r="C170" s="2"/>
      <c r="D170" s="1"/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51.75" customHeight="1">
      <c r="A171" s="1"/>
      <c r="B171" s="1"/>
      <c r="C171" s="2"/>
      <c r="D171" s="1"/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51.75" customHeight="1">
      <c r="A172" s="1"/>
      <c r="B172" s="1"/>
      <c r="C172" s="2"/>
      <c r="D172" s="1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51.75" customHeight="1">
      <c r="A173" s="1"/>
      <c r="B173" s="1"/>
      <c r="C173" s="2"/>
      <c r="D173" s="1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51.75" customHeight="1">
      <c r="A174" s="1"/>
      <c r="B174" s="1"/>
      <c r="C174" s="2"/>
      <c r="D174" s="1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51.75" customHeight="1">
      <c r="A175" s="1"/>
      <c r="B175" s="1"/>
      <c r="C175" s="2"/>
      <c r="D175" s="1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51.75" customHeight="1">
      <c r="A176" s="1"/>
      <c r="B176" s="1"/>
      <c r="C176" s="2"/>
      <c r="D176" s="1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51.75" customHeight="1">
      <c r="A177" s="1"/>
      <c r="B177" s="1"/>
      <c r="C177" s="2"/>
      <c r="D177" s="1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51.75" customHeight="1">
      <c r="A178" s="1"/>
      <c r="B178" s="1"/>
      <c r="C178" s="2"/>
      <c r="D178" s="1"/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51.75" customHeight="1">
      <c r="A179" s="1"/>
      <c r="B179" s="1"/>
      <c r="C179" s="2"/>
      <c r="D179" s="1"/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51.75" customHeight="1">
      <c r="A180" s="1"/>
      <c r="B180" s="1"/>
      <c r="C180" s="2"/>
      <c r="D180" s="1"/>
      <c r="E180" s="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51.75" customHeight="1">
      <c r="A181" s="1"/>
      <c r="B181" s="1"/>
      <c r="C181" s="2"/>
      <c r="D181" s="1"/>
      <c r="E181" s="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51.75" customHeight="1">
      <c r="A182" s="1"/>
      <c r="B182" s="1"/>
      <c r="C182" s="2"/>
      <c r="D182" s="1"/>
      <c r="E182" s="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51.75" customHeight="1">
      <c r="A183" s="1"/>
      <c r="B183" s="1"/>
      <c r="C183" s="2"/>
      <c r="D183" s="1"/>
      <c r="E183" s="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51.75" customHeight="1">
      <c r="A184" s="1"/>
      <c r="B184" s="1"/>
      <c r="C184" s="2"/>
      <c r="D184" s="1"/>
      <c r="E184" s="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51.75" customHeight="1">
      <c r="A185" s="1"/>
      <c r="B185" s="1"/>
      <c r="C185" s="2"/>
      <c r="D185" s="1"/>
      <c r="E185" s="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51.75" customHeight="1">
      <c r="A186" s="1"/>
      <c r="B186" s="1"/>
      <c r="C186" s="2"/>
      <c r="D186" s="1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51.75" customHeight="1">
      <c r="A187" s="1"/>
      <c r="B187" s="1"/>
      <c r="C187" s="2"/>
      <c r="D187" s="1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51.75" customHeight="1">
      <c r="A188" s="1"/>
      <c r="B188" s="1"/>
      <c r="C188" s="2"/>
      <c r="D188" s="1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51.75" customHeight="1">
      <c r="A189" s="1"/>
      <c r="B189" s="1"/>
      <c r="C189" s="2"/>
      <c r="D189" s="1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51.75" customHeight="1">
      <c r="A190" s="1"/>
      <c r="B190" s="1"/>
      <c r="C190" s="2"/>
      <c r="D190" s="1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51.75" customHeight="1">
      <c r="A191" s="1"/>
      <c r="B191" s="1"/>
      <c r="C191" s="2"/>
      <c r="D191" s="1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51.75" customHeight="1">
      <c r="A192" s="1"/>
      <c r="B192" s="1"/>
      <c r="C192" s="2"/>
      <c r="D192" s="1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51.75" customHeight="1">
      <c r="A193" s="1"/>
      <c r="B193" s="1"/>
      <c r="C193" s="2"/>
      <c r="D193" s="1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51.75" customHeight="1">
      <c r="A194" s="1"/>
      <c r="B194" s="1"/>
      <c r="C194" s="2"/>
      <c r="D194" s="1"/>
      <c r="E194" s="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51.75" customHeight="1">
      <c r="A195" s="1"/>
      <c r="B195" s="1"/>
      <c r="C195" s="2"/>
      <c r="D195" s="1"/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51.75" customHeight="1">
      <c r="A196" s="1"/>
      <c r="B196" s="1"/>
      <c r="C196" s="2"/>
      <c r="D196" s="1"/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51.75" customHeight="1">
      <c r="A197" s="1"/>
      <c r="B197" s="1"/>
      <c r="C197" s="2"/>
      <c r="D197" s="1"/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51.75" customHeight="1">
      <c r="A198" s="1"/>
      <c r="B198" s="1"/>
      <c r="C198" s="2"/>
      <c r="D198" s="1"/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51.75" customHeight="1">
      <c r="A199" s="1"/>
      <c r="B199" s="1"/>
      <c r="C199" s="2"/>
      <c r="D199" s="1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51.75" customHeight="1">
      <c r="A200" s="1"/>
      <c r="B200" s="1"/>
      <c r="C200" s="2"/>
      <c r="D200" s="1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51.75" customHeight="1">
      <c r="A201" s="1"/>
      <c r="B201" s="1"/>
      <c r="C201" s="2"/>
      <c r="D201" s="1"/>
      <c r="E201" s="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51.75" customHeight="1">
      <c r="A202" s="1"/>
      <c r="B202" s="1"/>
      <c r="C202" s="2"/>
      <c r="D202" s="1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51.75" customHeight="1">
      <c r="A203" s="1"/>
      <c r="B203" s="1"/>
      <c r="C203" s="2"/>
      <c r="D203" s="1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51.75" customHeight="1">
      <c r="A204" s="1"/>
      <c r="B204" s="1"/>
      <c r="C204" s="2"/>
      <c r="D204" s="1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51.75" customHeight="1">
      <c r="A205" s="1"/>
      <c r="B205" s="1"/>
      <c r="C205" s="2"/>
      <c r="D205" s="1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51.75" customHeight="1">
      <c r="A206" s="1"/>
      <c r="B206" s="1"/>
      <c r="C206" s="2"/>
      <c r="D206" s="1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51.75" customHeight="1">
      <c r="A207" s="1"/>
      <c r="B207" s="1"/>
      <c r="C207" s="2"/>
      <c r="D207" s="1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51.75" customHeight="1">
      <c r="A208" s="1"/>
      <c r="B208" s="1"/>
      <c r="C208" s="2"/>
      <c r="D208" s="1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51.75" customHeight="1">
      <c r="A209" s="1"/>
      <c r="B209" s="1"/>
      <c r="C209" s="2"/>
      <c r="D209" s="1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51.75" customHeight="1">
      <c r="A210" s="1"/>
      <c r="B210" s="1"/>
      <c r="C210" s="2"/>
      <c r="D210" s="1"/>
      <c r="E210" s="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51.75" customHeight="1">
      <c r="A211" s="1"/>
      <c r="B211" s="1"/>
      <c r="C211" s="2"/>
      <c r="D211" s="1"/>
      <c r="E211" s="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51.75" customHeight="1">
      <c r="A212" s="1"/>
      <c r="B212" s="1"/>
      <c r="C212" s="2"/>
      <c r="D212" s="1"/>
      <c r="E212" s="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51.75" customHeight="1">
      <c r="A213" s="1"/>
      <c r="B213" s="1"/>
      <c r="C213" s="2"/>
      <c r="D213" s="1"/>
      <c r="E213" s="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51.75" customHeight="1">
      <c r="A214" s="1"/>
      <c r="B214" s="1"/>
      <c r="C214" s="2"/>
      <c r="D214" s="1"/>
      <c r="E214" s="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51.75" customHeight="1">
      <c r="A215" s="1"/>
      <c r="B215" s="1"/>
      <c r="C215" s="2"/>
      <c r="D215" s="1"/>
      <c r="E215" s="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51.75" customHeight="1">
      <c r="A216" s="1"/>
      <c r="B216" s="1"/>
      <c r="C216" s="2"/>
      <c r="D216" s="1"/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51.75" customHeight="1">
      <c r="A217" s="1"/>
      <c r="B217" s="1"/>
      <c r="C217" s="2"/>
      <c r="D217" s="1"/>
      <c r="E217" s="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51.75" customHeight="1">
      <c r="A218" s="1"/>
      <c r="B218" s="1"/>
      <c r="C218" s="2"/>
      <c r="D218" s="1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51.75" customHeight="1">
      <c r="A219" s="1"/>
      <c r="B219" s="1"/>
      <c r="C219" s="2"/>
      <c r="D219" s="1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51.75" customHeight="1">
      <c r="A220" s="1"/>
      <c r="B220" s="1"/>
      <c r="C220" s="2"/>
      <c r="D220" s="1"/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51.75" customHeight="1">
      <c r="A221" s="1"/>
      <c r="B221" s="1"/>
      <c r="C221" s="2"/>
      <c r="D221" s="1"/>
      <c r="E221" s="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51.75" customHeight="1">
      <c r="A222" s="1"/>
      <c r="B222" s="1"/>
      <c r="C222" s="2"/>
      <c r="D222" s="1"/>
      <c r="E222" s="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51.75" customHeight="1">
      <c r="A223" s="1"/>
      <c r="B223" s="1"/>
      <c r="C223" s="2"/>
      <c r="D223" s="1"/>
      <c r="E223" s="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51.75" customHeight="1">
      <c r="A224" s="1"/>
      <c r="B224" s="1"/>
      <c r="C224" s="2"/>
      <c r="D224" s="1"/>
      <c r="E224" s="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51.75" customHeight="1">
      <c r="A225" s="1"/>
      <c r="B225" s="1"/>
      <c r="C225" s="2"/>
      <c r="D225" s="1"/>
      <c r="E225" s="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51.75" customHeight="1">
      <c r="A226" s="1"/>
      <c r="B226" s="1"/>
      <c r="C226" s="2"/>
      <c r="D226" s="1"/>
      <c r="E226" s="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51.75" customHeight="1">
      <c r="A227" s="1"/>
      <c r="B227" s="1"/>
      <c r="C227" s="2"/>
      <c r="D227" s="1"/>
      <c r="E227" s="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51.75" customHeight="1">
      <c r="A228" s="1"/>
      <c r="B228" s="1"/>
      <c r="C228" s="2"/>
      <c r="D228" s="1"/>
      <c r="E228" s="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51.75" customHeight="1">
      <c r="A229" s="1"/>
      <c r="B229" s="1"/>
      <c r="C229" s="2"/>
      <c r="D229" s="1"/>
      <c r="E229" s="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51.75" customHeight="1">
      <c r="A230" s="1"/>
      <c r="B230" s="1"/>
      <c r="C230" s="2"/>
      <c r="D230" s="1"/>
      <c r="E230" s="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51.75" customHeight="1">
      <c r="A231" s="1"/>
      <c r="B231" s="1"/>
      <c r="C231" s="2"/>
      <c r="D231" s="1"/>
      <c r="E231" s="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51.75" customHeight="1">
      <c r="A232" s="1"/>
      <c r="B232" s="1"/>
      <c r="C232" s="2"/>
      <c r="D232" s="1"/>
      <c r="E232" s="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51.75" customHeight="1">
      <c r="A233" s="1"/>
      <c r="B233" s="1"/>
      <c r="C233" s="2"/>
      <c r="D233" s="1"/>
      <c r="E233" s="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51.75" customHeight="1">
      <c r="A234" s="1"/>
      <c r="B234" s="1"/>
      <c r="C234" s="2"/>
      <c r="D234" s="1"/>
      <c r="E234" s="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51.75" customHeight="1">
      <c r="A235" s="1"/>
      <c r="B235" s="1"/>
      <c r="C235" s="2"/>
      <c r="D235" s="1"/>
      <c r="E235" s="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51.75" customHeight="1">
      <c r="A236" s="1"/>
      <c r="B236" s="1"/>
      <c r="C236" s="2"/>
      <c r="D236" s="1"/>
      <c r="E236" s="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51.75" customHeight="1">
      <c r="A237" s="1"/>
      <c r="B237" s="1"/>
      <c r="C237" s="2"/>
      <c r="D237" s="1"/>
      <c r="E237" s="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51.75" customHeight="1">
      <c r="A238" s="1"/>
      <c r="B238" s="1"/>
      <c r="C238" s="2"/>
      <c r="D238" s="1"/>
      <c r="E238" s="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51.75" customHeight="1">
      <c r="A239" s="1"/>
      <c r="B239" s="1"/>
      <c r="C239" s="2"/>
      <c r="D239" s="1"/>
      <c r="E239" s="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51.75" customHeight="1">
      <c r="A240" s="1"/>
      <c r="B240" s="1"/>
      <c r="C240" s="2"/>
      <c r="D240" s="1"/>
      <c r="E240" s="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51.75" customHeight="1">
      <c r="A241" s="1"/>
      <c r="B241" s="1"/>
      <c r="C241" s="2"/>
      <c r="D241" s="1"/>
      <c r="E241" s="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51.75" customHeight="1">
      <c r="A242" s="1"/>
      <c r="B242" s="1"/>
      <c r="C242" s="2"/>
      <c r="D242" s="1"/>
      <c r="E242" s="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51.75" customHeight="1">
      <c r="A243" s="1"/>
      <c r="B243" s="1"/>
      <c r="C243" s="2"/>
      <c r="D243" s="1"/>
      <c r="E243" s="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51.75" customHeight="1">
      <c r="A244" s="1"/>
      <c r="B244" s="1"/>
      <c r="C244" s="2"/>
      <c r="D244" s="1"/>
      <c r="E244" s="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51.75" customHeight="1">
      <c r="A245" s="1"/>
      <c r="B245" s="1"/>
      <c r="C245" s="2"/>
      <c r="D245" s="1"/>
      <c r="E245" s="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51.75" customHeight="1">
      <c r="A246" s="1"/>
      <c r="B246" s="1"/>
      <c r="C246" s="2"/>
      <c r="D246" s="1"/>
      <c r="E246" s="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51.75" customHeight="1">
      <c r="A247" s="1"/>
      <c r="B247" s="1"/>
      <c r="C247" s="2"/>
      <c r="D247" s="1"/>
      <c r="E247" s="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51.75" customHeight="1">
      <c r="A248" s="1"/>
      <c r="B248" s="1"/>
      <c r="C248" s="2"/>
      <c r="D248" s="1"/>
      <c r="E248" s="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51.75" customHeight="1">
      <c r="A249" s="1"/>
      <c r="B249" s="1"/>
      <c r="C249" s="2"/>
      <c r="D249" s="1"/>
      <c r="E249" s="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51.75" customHeight="1">
      <c r="A250" s="1"/>
      <c r="B250" s="1"/>
      <c r="C250" s="2"/>
      <c r="D250" s="1"/>
      <c r="E250" s="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51.75" customHeight="1">
      <c r="A251" s="1"/>
      <c r="B251" s="1"/>
      <c r="C251" s="2"/>
      <c r="D251" s="1"/>
      <c r="E251" s="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51.75" customHeight="1">
      <c r="A252" s="1"/>
      <c r="B252" s="1"/>
      <c r="C252" s="2"/>
      <c r="D252" s="1"/>
      <c r="E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51.75" customHeight="1">
      <c r="A253" s="1"/>
      <c r="B253" s="1"/>
      <c r="C253" s="2"/>
      <c r="D253" s="1"/>
      <c r="E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51.75" customHeight="1">
      <c r="A254" s="1"/>
      <c r="B254" s="1"/>
      <c r="C254" s="2"/>
      <c r="D254" s="1"/>
      <c r="E254" s="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51.75" customHeight="1">
      <c r="A255" s="1"/>
      <c r="B255" s="1"/>
      <c r="C255" s="2"/>
      <c r="D255" s="1"/>
      <c r="E255" s="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51.75" customHeight="1">
      <c r="A256" s="1"/>
      <c r="B256" s="1"/>
      <c r="C256" s="2"/>
      <c r="D256" s="1"/>
      <c r="E256" s="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51.75" customHeight="1">
      <c r="A257" s="1"/>
      <c r="B257" s="1"/>
      <c r="C257" s="2"/>
      <c r="D257" s="1"/>
      <c r="E257" s="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51.75" customHeight="1">
      <c r="A258" s="1"/>
      <c r="B258" s="1"/>
      <c r="C258" s="2"/>
      <c r="D258" s="1"/>
      <c r="E258" s="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51.75" customHeight="1">
      <c r="A259" s="1"/>
      <c r="B259" s="1"/>
      <c r="C259" s="2"/>
      <c r="D259" s="1"/>
      <c r="E259" s="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51.75" customHeight="1">
      <c r="A260" s="1"/>
      <c r="B260" s="1"/>
      <c r="C260" s="2"/>
      <c r="D260" s="1"/>
      <c r="E260" s="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51.75" customHeight="1">
      <c r="A261" s="1"/>
      <c r="B261" s="1"/>
      <c r="C261" s="2"/>
      <c r="D261" s="1"/>
      <c r="E261" s="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51.75" customHeight="1">
      <c r="A262" s="1"/>
      <c r="B262" s="1"/>
      <c r="C262" s="2"/>
      <c r="D262" s="1"/>
      <c r="E262" s="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51.75" customHeight="1">
      <c r="A263" s="1"/>
      <c r="B263" s="1"/>
      <c r="C263" s="2"/>
      <c r="D263" s="1"/>
      <c r="E263" s="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51.75" customHeight="1">
      <c r="A264" s="1"/>
      <c r="B264" s="1"/>
      <c r="C264" s="2"/>
      <c r="D264" s="1"/>
      <c r="E264" s="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51.75" customHeight="1">
      <c r="A265" s="1"/>
      <c r="B265" s="1"/>
      <c r="C265" s="2"/>
      <c r="D265" s="1"/>
      <c r="E265" s="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51.75" customHeight="1">
      <c r="A266" s="1"/>
      <c r="B266" s="1"/>
      <c r="C266" s="2"/>
      <c r="D266" s="1"/>
      <c r="E266" s="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51.75" customHeight="1">
      <c r="A267" s="1"/>
      <c r="B267" s="1"/>
      <c r="C267" s="2"/>
      <c r="D267" s="1"/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51.75" customHeight="1">
      <c r="A268" s="1"/>
      <c r="B268" s="1"/>
      <c r="C268" s="2"/>
      <c r="D268" s="1"/>
      <c r="E268" s="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51.75" customHeight="1">
      <c r="A269" s="1"/>
      <c r="B269" s="1"/>
      <c r="C269" s="2"/>
      <c r="D269" s="1"/>
      <c r="E269" s="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51.75" customHeight="1">
      <c r="A270" s="1"/>
      <c r="B270" s="1"/>
      <c r="C270" s="2"/>
      <c r="D270" s="1"/>
      <c r="E270" s="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51.75" customHeight="1">
      <c r="A271" s="1"/>
      <c r="B271" s="1"/>
      <c r="C271" s="2"/>
      <c r="D271" s="1"/>
      <c r="E271" s="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51.75" customHeight="1">
      <c r="A272" s="1"/>
      <c r="B272" s="1"/>
      <c r="C272" s="2"/>
      <c r="D272" s="1"/>
      <c r="E272" s="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51.75" customHeight="1">
      <c r="A273" s="1"/>
      <c r="B273" s="1"/>
      <c r="C273" s="2"/>
      <c r="D273" s="1"/>
      <c r="E273" s="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51.75" customHeight="1">
      <c r="A274" s="1"/>
      <c r="B274" s="1"/>
      <c r="C274" s="2"/>
      <c r="D274" s="1"/>
      <c r="E274" s="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51.75" customHeight="1">
      <c r="A275" s="1"/>
      <c r="B275" s="1"/>
      <c r="C275" s="2"/>
      <c r="D275" s="1"/>
      <c r="E275" s="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51.75" customHeight="1">
      <c r="A276" s="1"/>
      <c r="B276" s="1"/>
      <c r="C276" s="2"/>
      <c r="D276" s="1"/>
      <c r="E276" s="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51.75" customHeight="1">
      <c r="A277" s="1"/>
      <c r="B277" s="1"/>
      <c r="C277" s="2"/>
      <c r="D277" s="1"/>
      <c r="E277" s="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51.75" customHeight="1">
      <c r="A278" s="1"/>
      <c r="B278" s="1"/>
      <c r="C278" s="2"/>
      <c r="D278" s="1"/>
      <c r="E278" s="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51.75" customHeight="1">
      <c r="A279" s="1"/>
      <c r="B279" s="1"/>
      <c r="C279" s="2"/>
      <c r="D279" s="1"/>
      <c r="E279" s="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51.75" customHeight="1">
      <c r="A280" s="1"/>
      <c r="B280" s="1"/>
      <c r="C280" s="2"/>
      <c r="D280" s="1"/>
      <c r="E280" s="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51.75" customHeight="1">
      <c r="A281" s="1"/>
      <c r="B281" s="1"/>
      <c r="C281" s="2"/>
      <c r="D281" s="1"/>
      <c r="E281" s="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51.75" customHeight="1">
      <c r="A282" s="1"/>
      <c r="B282" s="1"/>
      <c r="C282" s="2"/>
      <c r="D282" s="1"/>
      <c r="E282" s="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51.75" customHeight="1">
      <c r="A283" s="1"/>
      <c r="B283" s="1"/>
      <c r="C283" s="2"/>
      <c r="D283" s="1"/>
      <c r="E283" s="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51.75" customHeight="1">
      <c r="A284" s="1"/>
      <c r="B284" s="1"/>
      <c r="C284" s="2"/>
      <c r="D284" s="1"/>
      <c r="E284" s="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51.75" customHeight="1">
      <c r="A285" s="1"/>
      <c r="B285" s="1"/>
      <c r="C285" s="2"/>
      <c r="D285" s="1"/>
      <c r="E285" s="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51.75" customHeight="1">
      <c r="A286" s="1"/>
      <c r="B286" s="1"/>
      <c r="C286" s="2"/>
      <c r="D286" s="1"/>
      <c r="E286" s="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51.75" customHeight="1">
      <c r="A287" s="1"/>
      <c r="B287" s="1"/>
      <c r="C287" s="2"/>
      <c r="D287" s="1"/>
      <c r="E287" s="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51.75" customHeight="1">
      <c r="A288" s="1"/>
      <c r="B288" s="1"/>
      <c r="C288" s="2"/>
      <c r="D288" s="1"/>
      <c r="E288" s="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51.75" customHeight="1">
      <c r="A289" s="1"/>
      <c r="B289" s="1"/>
      <c r="C289" s="2"/>
      <c r="D289" s="1"/>
      <c r="E289" s="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51.75" customHeight="1">
      <c r="A290" s="1"/>
      <c r="B290" s="1"/>
      <c r="C290" s="2"/>
      <c r="D290" s="1"/>
      <c r="E290" s="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51.75" customHeight="1">
      <c r="A291" s="1"/>
      <c r="B291" s="1"/>
      <c r="C291" s="2"/>
      <c r="D291" s="1"/>
      <c r="E291" s="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51.75" customHeight="1">
      <c r="A292" s="1"/>
      <c r="B292" s="1"/>
      <c r="C292" s="2"/>
      <c r="D292" s="1"/>
      <c r="E292" s="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51.75" customHeight="1">
      <c r="A293" s="1"/>
      <c r="B293" s="1"/>
      <c r="C293" s="2"/>
      <c r="D293" s="1"/>
      <c r="E293" s="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51.75" customHeight="1">
      <c r="A294" s="1"/>
      <c r="B294" s="1"/>
      <c r="C294" s="2"/>
      <c r="D294" s="1"/>
      <c r="E294" s="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51.75" customHeight="1">
      <c r="A295" s="1"/>
      <c r="B295" s="1"/>
      <c r="C295" s="2"/>
      <c r="D295" s="1"/>
      <c r="E295" s="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51.75" customHeight="1">
      <c r="A296" s="1"/>
      <c r="B296" s="1"/>
      <c r="C296" s="2"/>
      <c r="D296" s="1"/>
      <c r="E296" s="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51.75" customHeight="1">
      <c r="A297" s="1"/>
      <c r="B297" s="1"/>
      <c r="C297" s="2"/>
      <c r="D297" s="1"/>
      <c r="E297" s="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51.75" customHeight="1">
      <c r="A298" s="1"/>
      <c r="B298" s="1"/>
      <c r="C298" s="2"/>
      <c r="D298" s="1"/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51.75" customHeight="1">
      <c r="A299" s="1"/>
      <c r="B299" s="1"/>
      <c r="C299" s="2"/>
      <c r="D299" s="1"/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51.75" customHeight="1">
      <c r="A300" s="1"/>
      <c r="B300" s="1"/>
      <c r="C300" s="2"/>
      <c r="D300" s="1"/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51.75" customHeight="1">
      <c r="A301" s="1"/>
      <c r="B301" s="1"/>
      <c r="C301" s="2"/>
      <c r="D301" s="1"/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51.75" customHeight="1">
      <c r="A302" s="1"/>
      <c r="B302" s="1"/>
      <c r="C302" s="2"/>
      <c r="D302" s="1"/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51.75" customHeight="1">
      <c r="A303" s="1"/>
      <c r="B303" s="1"/>
      <c r="C303" s="2"/>
      <c r="D303" s="1"/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51.75" customHeight="1">
      <c r="A304" s="1"/>
      <c r="B304" s="1"/>
      <c r="C304" s="2"/>
      <c r="D304" s="1"/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51.75" customHeight="1">
      <c r="A305" s="1"/>
      <c r="B305" s="1"/>
      <c r="C305" s="2"/>
      <c r="D305" s="1"/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51.75" customHeight="1">
      <c r="A306" s="1"/>
      <c r="B306" s="1"/>
      <c r="C306" s="2"/>
      <c r="D306" s="1"/>
      <c r="E306" s="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51.75" customHeight="1">
      <c r="A307" s="1"/>
      <c r="B307" s="1"/>
      <c r="C307" s="2"/>
      <c r="D307" s="1"/>
      <c r="E307" s="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51.75" customHeight="1">
      <c r="A308" s="1"/>
      <c r="B308" s="1"/>
      <c r="C308" s="2"/>
      <c r="D308" s="1"/>
      <c r="E308" s="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51.75" customHeight="1">
      <c r="A309" s="1"/>
      <c r="B309" s="1"/>
      <c r="C309" s="2"/>
      <c r="D309" s="1"/>
      <c r="E309" s="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51.75" customHeight="1">
      <c r="A310" s="1"/>
      <c r="B310" s="1"/>
      <c r="C310" s="2"/>
      <c r="D310" s="1"/>
      <c r="E310" s="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51.75" customHeight="1">
      <c r="A311" s="1"/>
      <c r="B311" s="1"/>
      <c r="C311" s="2"/>
      <c r="D311" s="1"/>
      <c r="E311" s="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51.75" customHeight="1">
      <c r="A312" s="1"/>
      <c r="B312" s="1"/>
      <c r="C312" s="2"/>
      <c r="D312" s="1"/>
      <c r="E312" s="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51.75" customHeight="1">
      <c r="A313" s="1"/>
      <c r="B313" s="1"/>
      <c r="C313" s="2"/>
      <c r="D313" s="1"/>
      <c r="E313" s="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51.75" customHeight="1">
      <c r="A314" s="1"/>
      <c r="B314" s="1"/>
      <c r="C314" s="2"/>
      <c r="D314" s="1"/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51.75" customHeight="1">
      <c r="A315" s="1"/>
      <c r="B315" s="1"/>
      <c r="C315" s="2"/>
      <c r="D315" s="1"/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51.75" customHeight="1">
      <c r="A316" s="1"/>
      <c r="B316" s="1"/>
      <c r="C316" s="2"/>
      <c r="D316" s="1"/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51.75" customHeight="1">
      <c r="A317" s="1"/>
      <c r="B317" s="1"/>
      <c r="C317" s="2"/>
      <c r="D317" s="1"/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51.75" customHeight="1">
      <c r="A318" s="1"/>
      <c r="B318" s="1"/>
      <c r="C318" s="2"/>
      <c r="D318" s="1"/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51.75" customHeight="1">
      <c r="A319" s="1"/>
      <c r="B319" s="1"/>
      <c r="C319" s="2"/>
      <c r="D319" s="1"/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51.75" customHeight="1">
      <c r="A320" s="1"/>
      <c r="B320" s="1"/>
      <c r="C320" s="2"/>
      <c r="D320" s="1"/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51.75" customHeight="1">
      <c r="A321" s="1"/>
      <c r="B321" s="1"/>
      <c r="C321" s="2"/>
      <c r="D321" s="1"/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51.75" customHeight="1">
      <c r="A322" s="1"/>
      <c r="B322" s="1"/>
      <c r="C322" s="2"/>
      <c r="D322" s="1"/>
      <c r="E322" s="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51.75" customHeight="1">
      <c r="A323" s="1"/>
      <c r="B323" s="1"/>
      <c r="C323" s="2"/>
      <c r="D323" s="1"/>
      <c r="E323" s="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51.75" customHeight="1">
      <c r="A324" s="1"/>
      <c r="B324" s="1"/>
      <c r="C324" s="2"/>
      <c r="D324" s="1"/>
      <c r="E324" s="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51.75" customHeight="1">
      <c r="A325" s="1"/>
      <c r="B325" s="1"/>
      <c r="C325" s="2"/>
      <c r="D325" s="1"/>
      <c r="E325" s="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51.75" customHeight="1">
      <c r="A326" s="1"/>
      <c r="B326" s="1"/>
      <c r="C326" s="2"/>
      <c r="D326" s="1"/>
      <c r="E326" s="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51.75" customHeight="1">
      <c r="A327" s="1"/>
      <c r="B327" s="1"/>
      <c r="C327" s="2"/>
      <c r="D327" s="1"/>
      <c r="E327" s="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51.75" customHeight="1">
      <c r="A328" s="1"/>
      <c r="B328" s="1"/>
      <c r="C328" s="2"/>
      <c r="D328" s="1"/>
      <c r="E328" s="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51.75" customHeight="1">
      <c r="A329" s="1"/>
      <c r="B329" s="1"/>
      <c r="C329" s="2"/>
      <c r="D329" s="1"/>
      <c r="E329" s="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51.75" customHeight="1">
      <c r="A330" s="1"/>
      <c r="B330" s="1"/>
      <c r="C330" s="2"/>
      <c r="D330" s="1"/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51.75" customHeight="1">
      <c r="A331" s="1"/>
      <c r="B331" s="1"/>
      <c r="C331" s="2"/>
      <c r="D331" s="1"/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51.75" customHeight="1">
      <c r="A332" s="1"/>
      <c r="B332" s="1"/>
      <c r="C332" s="2"/>
      <c r="D332" s="1"/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51.75" customHeight="1">
      <c r="A333" s="1"/>
      <c r="B333" s="1"/>
      <c r="C333" s="2"/>
      <c r="D333" s="1"/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51.75" customHeight="1">
      <c r="A334" s="1"/>
      <c r="B334" s="1"/>
      <c r="C334" s="2"/>
      <c r="D334" s="1"/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51.75" customHeight="1">
      <c r="A335" s="1"/>
      <c r="B335" s="1"/>
      <c r="C335" s="2"/>
      <c r="D335" s="1"/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51.75" customHeight="1">
      <c r="A336" s="1"/>
      <c r="B336" s="1"/>
      <c r="C336" s="2"/>
      <c r="D336" s="1"/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51.75" customHeight="1">
      <c r="A337" s="1"/>
      <c r="B337" s="1"/>
      <c r="C337" s="2"/>
      <c r="D337" s="1"/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51.75" customHeight="1">
      <c r="A338" s="1"/>
      <c r="B338" s="1"/>
      <c r="C338" s="2"/>
      <c r="D338" s="1"/>
      <c r="E338" s="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51.75" customHeight="1">
      <c r="A339" s="1"/>
      <c r="B339" s="1"/>
      <c r="C339" s="2"/>
      <c r="D339" s="1"/>
      <c r="E339" s="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51.75" customHeight="1">
      <c r="A340" s="1"/>
      <c r="B340" s="1"/>
      <c r="C340" s="2"/>
      <c r="D340" s="1"/>
      <c r="E340" s="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51.75" customHeight="1">
      <c r="A341" s="1"/>
      <c r="B341" s="1"/>
      <c r="C341" s="2"/>
      <c r="D341" s="1"/>
      <c r="E341" s="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51.75" customHeight="1">
      <c r="A342" s="1"/>
      <c r="B342" s="1"/>
      <c r="C342" s="2"/>
      <c r="D342" s="1"/>
      <c r="E342" s="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51.75" customHeight="1">
      <c r="A343" s="1"/>
      <c r="B343" s="1"/>
      <c r="C343" s="2"/>
      <c r="D343" s="1"/>
      <c r="E343" s="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51.75" customHeight="1">
      <c r="A344" s="1"/>
      <c r="B344" s="1"/>
      <c r="C344" s="2"/>
      <c r="D344" s="1"/>
      <c r="E344" s="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51.75" customHeight="1">
      <c r="A345" s="1"/>
      <c r="B345" s="1"/>
      <c r="C345" s="2"/>
      <c r="D345" s="1"/>
      <c r="E345" s="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51.75" customHeight="1">
      <c r="A346" s="1"/>
      <c r="B346" s="1"/>
      <c r="C346" s="2"/>
      <c r="D346" s="1"/>
      <c r="E346" s="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51.75" customHeight="1">
      <c r="A347" s="1"/>
      <c r="B347" s="1"/>
      <c r="C347" s="2"/>
      <c r="D347" s="1"/>
      <c r="E347" s="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51.75" customHeight="1">
      <c r="A348" s="1"/>
      <c r="B348" s="1"/>
      <c r="C348" s="2"/>
      <c r="D348" s="1"/>
      <c r="E348" s="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51.75" customHeight="1">
      <c r="A349" s="1"/>
      <c r="B349" s="1"/>
      <c r="C349" s="2"/>
      <c r="D349" s="1"/>
      <c r="E349" s="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51.75" customHeight="1">
      <c r="A350" s="1"/>
      <c r="B350" s="1"/>
      <c r="C350" s="2"/>
      <c r="D350" s="1"/>
      <c r="E350" s="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51.75" customHeight="1">
      <c r="A351" s="1"/>
      <c r="B351" s="1"/>
      <c r="C351" s="2"/>
      <c r="D351" s="1"/>
      <c r="E351" s="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51.75" customHeight="1">
      <c r="A352" s="1"/>
      <c r="B352" s="1"/>
      <c r="C352" s="2"/>
      <c r="D352" s="1"/>
      <c r="E352" s="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51.75" customHeight="1">
      <c r="A353" s="1"/>
      <c r="B353" s="1"/>
      <c r="C353" s="2"/>
      <c r="D353" s="1"/>
      <c r="E353" s="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51.75" customHeight="1">
      <c r="A354" s="1"/>
      <c r="B354" s="1"/>
      <c r="C354" s="2"/>
      <c r="D354" s="1"/>
      <c r="E354" s="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51.75" customHeight="1">
      <c r="A355" s="1"/>
      <c r="B355" s="1"/>
      <c r="C355" s="2"/>
      <c r="D355" s="1"/>
      <c r="E355" s="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51.75" customHeight="1">
      <c r="A356" s="1"/>
      <c r="B356" s="1"/>
      <c r="C356" s="2"/>
      <c r="D356" s="1"/>
      <c r="E356" s="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51.75" customHeight="1">
      <c r="A357" s="1"/>
      <c r="B357" s="1"/>
      <c r="C357" s="2"/>
      <c r="D357" s="1"/>
      <c r="E357" s="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51.75" customHeight="1">
      <c r="A358" s="1"/>
      <c r="B358" s="1"/>
      <c r="C358" s="2"/>
      <c r="D358" s="1"/>
      <c r="E358" s="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51.75" customHeight="1">
      <c r="A359" s="1"/>
      <c r="B359" s="1"/>
      <c r="C359" s="2"/>
      <c r="D359" s="1"/>
      <c r="E359" s="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51.75" customHeight="1">
      <c r="A360" s="1"/>
      <c r="B360" s="1"/>
      <c r="C360" s="2"/>
      <c r="D360" s="1"/>
      <c r="E360" s="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51.75" customHeight="1">
      <c r="A361" s="1"/>
      <c r="B361" s="1"/>
      <c r="C361" s="2"/>
      <c r="D361" s="1"/>
      <c r="E361" s="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51.75" customHeight="1">
      <c r="A362" s="1"/>
      <c r="B362" s="1"/>
      <c r="C362" s="2"/>
      <c r="D362" s="1"/>
      <c r="E362" s="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51.75" customHeight="1">
      <c r="A363" s="1"/>
      <c r="B363" s="1"/>
      <c r="C363" s="2"/>
      <c r="D363" s="1"/>
      <c r="E363" s="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51.75" customHeight="1">
      <c r="A364" s="1"/>
      <c r="B364" s="1"/>
      <c r="C364" s="2"/>
      <c r="D364" s="1"/>
      <c r="E364" s="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51.75" customHeight="1">
      <c r="A365" s="1"/>
      <c r="B365" s="1"/>
      <c r="C365" s="2"/>
      <c r="D365" s="1"/>
      <c r="E365" s="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51.75" customHeight="1">
      <c r="A366" s="1"/>
      <c r="B366" s="1"/>
      <c r="C366" s="2"/>
      <c r="D366" s="1"/>
      <c r="E366" s="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51.75" customHeight="1">
      <c r="A367" s="1"/>
      <c r="B367" s="1"/>
      <c r="C367" s="2"/>
      <c r="D367" s="1"/>
      <c r="E367" s="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51.75" customHeight="1">
      <c r="A368" s="1"/>
      <c r="B368" s="1"/>
      <c r="C368" s="2"/>
      <c r="D368" s="1"/>
      <c r="E368" s="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51.75" customHeight="1">
      <c r="A369" s="1"/>
      <c r="B369" s="1"/>
      <c r="C369" s="2"/>
      <c r="D369" s="1"/>
      <c r="E369" s="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51.75" customHeight="1">
      <c r="A370" s="1"/>
      <c r="B370" s="1"/>
      <c r="C370" s="2"/>
      <c r="D370" s="1"/>
      <c r="E370" s="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51.75" customHeight="1">
      <c r="A371" s="1"/>
      <c r="B371" s="1"/>
      <c r="C371" s="2"/>
      <c r="D371" s="1"/>
      <c r="E371" s="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51.75" customHeight="1">
      <c r="A372" s="1"/>
      <c r="B372" s="1"/>
      <c r="C372" s="2"/>
      <c r="D372" s="1"/>
      <c r="E372" s="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51.75" customHeight="1">
      <c r="A373" s="1"/>
      <c r="B373" s="1"/>
      <c r="C373" s="2"/>
      <c r="D373" s="1"/>
      <c r="E373" s="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51.75" customHeight="1">
      <c r="A374" s="1"/>
      <c r="B374" s="1"/>
      <c r="C374" s="2"/>
      <c r="D374" s="1"/>
      <c r="E374" s="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51.75" customHeight="1">
      <c r="A375" s="1"/>
      <c r="B375" s="1"/>
      <c r="C375" s="2"/>
      <c r="D375" s="1"/>
      <c r="E375" s="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51.75" customHeight="1">
      <c r="A376" s="1"/>
      <c r="B376" s="1"/>
      <c r="C376" s="2"/>
      <c r="D376" s="1"/>
      <c r="E376" s="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51.75" customHeight="1">
      <c r="A377" s="1"/>
      <c r="B377" s="1"/>
      <c r="C377" s="2"/>
      <c r="D377" s="1"/>
      <c r="E377" s="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51.75" customHeight="1">
      <c r="A378" s="1"/>
      <c r="B378" s="1"/>
      <c r="C378" s="2"/>
      <c r="D378" s="1"/>
      <c r="E378" s="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51.75" customHeight="1">
      <c r="A379" s="1"/>
      <c r="B379" s="1"/>
      <c r="C379" s="2"/>
      <c r="D379" s="1"/>
      <c r="E379" s="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51.75" customHeight="1">
      <c r="A380" s="1"/>
      <c r="B380" s="1"/>
      <c r="C380" s="2"/>
      <c r="D380" s="1"/>
      <c r="E380" s="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51.75" customHeight="1">
      <c r="A381" s="1"/>
      <c r="B381" s="1"/>
      <c r="C381" s="2"/>
      <c r="D381" s="1"/>
      <c r="E381" s="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51.75" customHeight="1">
      <c r="A382" s="1"/>
      <c r="B382" s="1"/>
      <c r="C382" s="2"/>
      <c r="D382" s="1"/>
      <c r="E382" s="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51.75" customHeight="1">
      <c r="A383" s="1"/>
      <c r="B383" s="1"/>
      <c r="C383" s="2"/>
      <c r="D383" s="1"/>
      <c r="E383" s="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51.75" customHeight="1">
      <c r="A384" s="1"/>
      <c r="B384" s="1"/>
      <c r="C384" s="2"/>
      <c r="D384" s="1"/>
      <c r="E384" s="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51.75" customHeight="1">
      <c r="A385" s="1"/>
      <c r="B385" s="1"/>
      <c r="C385" s="2"/>
      <c r="D385" s="1"/>
      <c r="E385" s="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51.75" customHeight="1">
      <c r="A386" s="1"/>
      <c r="B386" s="1"/>
      <c r="C386" s="2"/>
      <c r="D386" s="1"/>
      <c r="E386" s="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51.75" customHeight="1">
      <c r="A387" s="1"/>
      <c r="B387" s="1"/>
      <c r="C387" s="2"/>
      <c r="D387" s="1"/>
      <c r="E387" s="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51.75" customHeight="1">
      <c r="A388" s="1"/>
      <c r="B388" s="1"/>
      <c r="C388" s="2"/>
      <c r="D388" s="1"/>
      <c r="E388" s="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51.75" customHeight="1">
      <c r="A389" s="1"/>
      <c r="B389" s="1"/>
      <c r="C389" s="2"/>
      <c r="D389" s="1"/>
      <c r="E389" s="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51.75" customHeight="1">
      <c r="A390" s="1"/>
      <c r="B390" s="1"/>
      <c r="C390" s="2"/>
      <c r="D390" s="1"/>
      <c r="E390" s="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51.75" customHeight="1">
      <c r="A391" s="1"/>
      <c r="B391" s="1"/>
      <c r="C391" s="2"/>
      <c r="D391" s="1"/>
      <c r="E391" s="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51.75" customHeight="1">
      <c r="A392" s="1"/>
      <c r="B392" s="1"/>
      <c r="C392" s="2"/>
      <c r="D392" s="1"/>
      <c r="E392" s="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51.75" customHeight="1">
      <c r="A393" s="1"/>
      <c r="B393" s="1"/>
      <c r="C393" s="2"/>
      <c r="D393" s="1"/>
      <c r="E393" s="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51.75" customHeight="1">
      <c r="A394" s="1"/>
      <c r="B394" s="1"/>
      <c r="C394" s="2"/>
      <c r="D394" s="1"/>
      <c r="E394" s="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51.75" customHeight="1">
      <c r="A395" s="1"/>
      <c r="B395" s="1"/>
      <c r="C395" s="2"/>
      <c r="D395" s="1"/>
      <c r="E395" s="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51.75" customHeight="1">
      <c r="A396" s="1"/>
      <c r="B396" s="1"/>
      <c r="C396" s="2"/>
      <c r="D396" s="1"/>
      <c r="E396" s="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51.75" customHeight="1">
      <c r="A397" s="1"/>
      <c r="B397" s="1"/>
      <c r="C397" s="2"/>
      <c r="D397" s="1"/>
      <c r="E397" s="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51.75" customHeight="1">
      <c r="A398" s="1"/>
      <c r="B398" s="1"/>
      <c r="C398" s="2"/>
      <c r="D398" s="1"/>
      <c r="E398" s="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51.75" customHeight="1">
      <c r="A399" s="1"/>
      <c r="B399" s="1"/>
      <c r="C399" s="2"/>
      <c r="D399" s="1"/>
      <c r="E399" s="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51.75" customHeight="1">
      <c r="A400" s="1"/>
      <c r="B400" s="1"/>
      <c r="C400" s="2"/>
      <c r="D400" s="1"/>
      <c r="E400" s="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51.75" customHeight="1">
      <c r="A401" s="1"/>
      <c r="B401" s="1"/>
      <c r="C401" s="2"/>
      <c r="D401" s="1"/>
      <c r="E401" s="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51.75" customHeight="1">
      <c r="A402" s="1"/>
      <c r="B402" s="1"/>
      <c r="C402" s="2"/>
      <c r="D402" s="1"/>
      <c r="E402" s="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51.75" customHeight="1">
      <c r="A403" s="1"/>
      <c r="B403" s="1"/>
      <c r="C403" s="2"/>
      <c r="D403" s="1"/>
      <c r="E403" s="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51.75" customHeight="1">
      <c r="A404" s="1"/>
      <c r="B404" s="1"/>
      <c r="C404" s="2"/>
      <c r="D404" s="1"/>
      <c r="E404" s="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51.75" customHeight="1">
      <c r="A405" s="1"/>
      <c r="B405" s="1"/>
      <c r="C405" s="2"/>
      <c r="D405" s="1"/>
      <c r="E405" s="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51.75" customHeight="1">
      <c r="A406" s="1"/>
      <c r="B406" s="1"/>
      <c r="C406" s="2"/>
      <c r="D406" s="1"/>
      <c r="E406" s="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51.75" customHeight="1">
      <c r="A407" s="1"/>
      <c r="B407" s="1"/>
      <c r="C407" s="2"/>
      <c r="D407" s="1"/>
      <c r="E407" s="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51.75" customHeight="1">
      <c r="A408" s="1"/>
      <c r="B408" s="1"/>
      <c r="C408" s="2"/>
      <c r="D408" s="1"/>
      <c r="E408" s="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51.75" customHeight="1">
      <c r="A409" s="1"/>
      <c r="B409" s="1"/>
      <c r="C409" s="2"/>
      <c r="D409" s="1"/>
      <c r="E409" s="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51.75" customHeight="1">
      <c r="A410" s="1"/>
      <c r="B410" s="1"/>
      <c r="C410" s="2"/>
      <c r="D410" s="1"/>
      <c r="E410" s="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51.75" customHeight="1">
      <c r="A411" s="1"/>
      <c r="B411" s="1"/>
      <c r="C411" s="2"/>
      <c r="D411" s="1"/>
      <c r="E411" s="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51.75" customHeight="1">
      <c r="A412" s="1"/>
      <c r="B412" s="1"/>
      <c r="C412" s="2"/>
      <c r="D412" s="1"/>
      <c r="E412" s="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51.75" customHeight="1">
      <c r="A413" s="1"/>
      <c r="B413" s="1"/>
      <c r="C413" s="2"/>
      <c r="D413" s="1"/>
      <c r="E413" s="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51.75" customHeight="1">
      <c r="A414" s="1"/>
      <c r="B414" s="1"/>
      <c r="C414" s="2"/>
      <c r="D414" s="1"/>
      <c r="E414" s="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51.75" customHeight="1">
      <c r="A415" s="1"/>
      <c r="B415" s="1"/>
      <c r="C415" s="2"/>
      <c r="D415" s="1"/>
      <c r="E415" s="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51.75" customHeight="1">
      <c r="A416" s="1"/>
      <c r="B416" s="1"/>
      <c r="C416" s="2"/>
      <c r="D416" s="1"/>
      <c r="E416" s="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51.75" customHeight="1">
      <c r="A417" s="1"/>
      <c r="B417" s="1"/>
      <c r="C417" s="2"/>
      <c r="D417" s="1"/>
      <c r="E417" s="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51.75" customHeight="1">
      <c r="A418" s="1"/>
      <c r="B418" s="1"/>
      <c r="C418" s="2"/>
      <c r="D418" s="1"/>
      <c r="E418" s="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51.75" customHeight="1">
      <c r="A419" s="1"/>
      <c r="B419" s="1"/>
      <c r="C419" s="2"/>
      <c r="D419" s="1"/>
      <c r="E419" s="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51.75" customHeight="1">
      <c r="A420" s="1"/>
      <c r="B420" s="1"/>
      <c r="C420" s="2"/>
      <c r="D420" s="1"/>
      <c r="E420" s="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51.75" customHeight="1">
      <c r="A421" s="1"/>
      <c r="B421" s="1"/>
      <c r="C421" s="2"/>
      <c r="D421" s="1"/>
      <c r="E421" s="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51.75" customHeight="1">
      <c r="A422" s="1"/>
      <c r="B422" s="1"/>
      <c r="C422" s="2"/>
      <c r="D422" s="1"/>
      <c r="E422" s="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51.75" customHeight="1">
      <c r="A423" s="1"/>
      <c r="B423" s="1"/>
      <c r="C423" s="2"/>
      <c r="D423" s="1"/>
      <c r="E423" s="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51.75" customHeight="1">
      <c r="A424" s="1"/>
      <c r="B424" s="1"/>
      <c r="C424" s="2"/>
      <c r="D424" s="1"/>
      <c r="E424" s="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51.75" customHeight="1">
      <c r="A425" s="1"/>
      <c r="B425" s="1"/>
      <c r="C425" s="2"/>
      <c r="D425" s="1"/>
      <c r="E425" s="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51.75" customHeight="1">
      <c r="A426" s="1"/>
      <c r="B426" s="1"/>
      <c r="C426" s="2"/>
      <c r="D426" s="1"/>
      <c r="E426" s="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51.75" customHeight="1">
      <c r="A427" s="1"/>
      <c r="B427" s="1"/>
      <c r="C427" s="2"/>
      <c r="D427" s="1"/>
      <c r="E427" s="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51.75" customHeight="1">
      <c r="A428" s="1"/>
      <c r="B428" s="1"/>
      <c r="C428" s="2"/>
      <c r="D428" s="1"/>
      <c r="E428" s="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51.75" customHeight="1">
      <c r="A429" s="1"/>
      <c r="B429" s="1"/>
      <c r="C429" s="2"/>
      <c r="D429" s="1"/>
      <c r="E429" s="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51.75" customHeight="1">
      <c r="A430" s="1"/>
      <c r="B430" s="1"/>
      <c r="C430" s="2"/>
      <c r="D430" s="1"/>
      <c r="E430" s="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51.75" customHeight="1">
      <c r="A431" s="1"/>
      <c r="B431" s="1"/>
      <c r="C431" s="2"/>
      <c r="D431" s="1"/>
      <c r="E431" s="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51.75" customHeight="1">
      <c r="A432" s="1"/>
      <c r="B432" s="1"/>
      <c r="C432" s="2"/>
      <c r="D432" s="1"/>
      <c r="E432" s="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51.75" customHeight="1">
      <c r="A433" s="1"/>
      <c r="B433" s="1"/>
      <c r="C433" s="2"/>
      <c r="D433" s="1"/>
      <c r="E433" s="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51.75" customHeight="1">
      <c r="A434" s="1"/>
      <c r="B434" s="1"/>
      <c r="C434" s="2"/>
      <c r="D434" s="1"/>
      <c r="E434" s="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51.75" customHeight="1">
      <c r="A435" s="1"/>
      <c r="B435" s="1"/>
      <c r="C435" s="2"/>
      <c r="D435" s="1"/>
      <c r="E435" s="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51.75" customHeight="1">
      <c r="A436" s="1"/>
      <c r="B436" s="1"/>
      <c r="C436" s="2"/>
      <c r="D436" s="1"/>
      <c r="E436" s="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51.75" customHeight="1">
      <c r="A437" s="1"/>
      <c r="B437" s="1"/>
      <c r="C437" s="2"/>
      <c r="D437" s="1"/>
      <c r="E437" s="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51.75" customHeight="1">
      <c r="A438" s="1"/>
      <c r="B438" s="1"/>
      <c r="C438" s="2"/>
      <c r="D438" s="1"/>
      <c r="E438" s="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51.75" customHeight="1">
      <c r="A439" s="1"/>
      <c r="B439" s="1"/>
      <c r="C439" s="2"/>
      <c r="D439" s="1"/>
      <c r="E439" s="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51.75" customHeight="1">
      <c r="A440" s="1"/>
      <c r="B440" s="1"/>
      <c r="C440" s="2"/>
      <c r="D440" s="1"/>
      <c r="E440" s="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51.75" customHeight="1">
      <c r="A441" s="1"/>
      <c r="B441" s="1"/>
      <c r="C441" s="2"/>
      <c r="D441" s="1"/>
      <c r="E441" s="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51.75" customHeight="1">
      <c r="A442" s="1"/>
      <c r="B442" s="1"/>
      <c r="C442" s="2"/>
      <c r="D442" s="1"/>
      <c r="E442" s="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51.75" customHeight="1">
      <c r="A443" s="1"/>
      <c r="B443" s="1"/>
      <c r="C443" s="2"/>
      <c r="D443" s="1"/>
      <c r="E443" s="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51.75" customHeight="1">
      <c r="A444" s="1"/>
      <c r="B444" s="1"/>
      <c r="C444" s="2"/>
      <c r="D444" s="1"/>
      <c r="E444" s="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51.75" customHeight="1">
      <c r="A445" s="1"/>
      <c r="B445" s="1"/>
      <c r="C445" s="2"/>
      <c r="D445" s="1"/>
      <c r="E445" s="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51.75" customHeight="1">
      <c r="A446" s="1"/>
      <c r="B446" s="1"/>
      <c r="C446" s="2"/>
      <c r="D446" s="1"/>
      <c r="E446" s="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51.75" customHeight="1">
      <c r="A447" s="1"/>
      <c r="B447" s="1"/>
      <c r="C447" s="2"/>
      <c r="D447" s="1"/>
      <c r="E447" s="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51.75" customHeight="1">
      <c r="A448" s="1"/>
      <c r="B448" s="1"/>
      <c r="C448" s="2"/>
      <c r="D448" s="1"/>
      <c r="E448" s="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51.75" customHeight="1">
      <c r="A449" s="1"/>
      <c r="B449" s="1"/>
      <c r="C449" s="2"/>
      <c r="D449" s="1"/>
      <c r="E449" s="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51.75" customHeight="1">
      <c r="A450" s="1"/>
      <c r="B450" s="1"/>
      <c r="C450" s="2"/>
      <c r="D450" s="1"/>
      <c r="E450" s="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51.75" customHeight="1">
      <c r="A451" s="1"/>
      <c r="B451" s="1"/>
      <c r="C451" s="2"/>
      <c r="D451" s="1"/>
      <c r="E451" s="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51.75" customHeight="1">
      <c r="A452" s="1"/>
      <c r="B452" s="1"/>
      <c r="C452" s="2"/>
      <c r="D452" s="1"/>
      <c r="E452" s="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51.75" customHeight="1">
      <c r="A453" s="1"/>
      <c r="B453" s="1"/>
      <c r="C453" s="2"/>
      <c r="D453" s="1"/>
      <c r="E453" s="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51.75" customHeight="1">
      <c r="A454" s="1"/>
      <c r="B454" s="1"/>
      <c r="C454" s="2"/>
      <c r="D454" s="1"/>
      <c r="E454" s="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51.75" customHeight="1">
      <c r="A455" s="1"/>
      <c r="B455" s="1"/>
      <c r="C455" s="2"/>
      <c r="D455" s="1"/>
      <c r="E455" s="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51.75" customHeight="1">
      <c r="A456" s="1"/>
      <c r="B456" s="1"/>
      <c r="C456" s="2"/>
      <c r="D456" s="1"/>
      <c r="E456" s="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51.75" customHeight="1">
      <c r="A457" s="1"/>
      <c r="B457" s="1"/>
      <c r="C457" s="2"/>
      <c r="D457" s="1"/>
      <c r="E457" s="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51.75" customHeight="1">
      <c r="A458" s="1"/>
      <c r="B458" s="1"/>
      <c r="C458" s="2"/>
      <c r="D458" s="1"/>
      <c r="E458" s="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51.75" customHeight="1">
      <c r="A459" s="1"/>
      <c r="B459" s="1"/>
      <c r="C459" s="2"/>
      <c r="D459" s="1"/>
      <c r="E459" s="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51.75" customHeight="1">
      <c r="A460" s="1"/>
      <c r="B460" s="1"/>
      <c r="C460" s="2"/>
      <c r="D460" s="1"/>
      <c r="E460" s="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51.75" customHeight="1">
      <c r="A461" s="1"/>
      <c r="B461" s="1"/>
      <c r="C461" s="2"/>
      <c r="D461" s="1"/>
      <c r="E461" s="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51.75" customHeight="1">
      <c r="A462" s="1"/>
      <c r="B462" s="1"/>
      <c r="C462" s="2"/>
      <c r="D462" s="1"/>
      <c r="E462" s="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51.75" customHeight="1">
      <c r="A463" s="1"/>
      <c r="B463" s="1"/>
      <c r="C463" s="2"/>
      <c r="D463" s="1"/>
      <c r="E463" s="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51.75" customHeight="1">
      <c r="A464" s="1"/>
      <c r="B464" s="1"/>
      <c r="C464" s="2"/>
      <c r="D464" s="1"/>
      <c r="E464" s="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51.75" customHeight="1">
      <c r="A465" s="1"/>
      <c r="B465" s="1"/>
      <c r="C465" s="2"/>
      <c r="D465" s="1"/>
      <c r="E465" s="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51.75" customHeight="1">
      <c r="A466" s="1"/>
      <c r="B466" s="1"/>
      <c r="C466" s="2"/>
      <c r="D466" s="1"/>
      <c r="E466" s="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51.75" customHeight="1">
      <c r="A467" s="1"/>
      <c r="B467" s="1"/>
      <c r="C467" s="2"/>
      <c r="D467" s="1"/>
      <c r="E467" s="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51.75" customHeight="1">
      <c r="A468" s="1"/>
      <c r="B468" s="1"/>
      <c r="C468" s="2"/>
      <c r="D468" s="1"/>
      <c r="E468" s="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51.75" customHeight="1">
      <c r="A469" s="1"/>
      <c r="B469" s="1"/>
      <c r="C469" s="2"/>
      <c r="D469" s="1"/>
      <c r="E469" s="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51.75" customHeight="1">
      <c r="A470" s="1"/>
      <c r="B470" s="1"/>
      <c r="C470" s="2"/>
      <c r="D470" s="1"/>
      <c r="E470" s="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51.75" customHeight="1">
      <c r="A471" s="1"/>
      <c r="B471" s="1"/>
      <c r="C471" s="2"/>
      <c r="D471" s="1"/>
      <c r="E471" s="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51.75" customHeight="1">
      <c r="A472" s="1"/>
      <c r="B472" s="1"/>
      <c r="C472" s="2"/>
      <c r="D472" s="1"/>
      <c r="E472" s="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51.75" customHeight="1">
      <c r="A473" s="1"/>
      <c r="B473" s="1"/>
      <c r="C473" s="2"/>
      <c r="D473" s="1"/>
      <c r="E473" s="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51.75" customHeight="1">
      <c r="A474" s="1"/>
      <c r="B474" s="1"/>
      <c r="C474" s="2"/>
      <c r="D474" s="1"/>
      <c r="E474" s="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51.75" customHeight="1">
      <c r="A475" s="1"/>
      <c r="B475" s="1"/>
      <c r="C475" s="2"/>
      <c r="D475" s="1"/>
      <c r="E475" s="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51.75" customHeight="1">
      <c r="A476" s="1"/>
      <c r="B476" s="1"/>
      <c r="C476" s="2"/>
      <c r="D476" s="1"/>
      <c r="E476" s="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51.75" customHeight="1">
      <c r="A477" s="1"/>
      <c r="B477" s="1"/>
      <c r="C477" s="2"/>
      <c r="D477" s="1"/>
      <c r="E477" s="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51.75" customHeight="1">
      <c r="A478" s="1"/>
      <c r="B478" s="1"/>
      <c r="C478" s="2"/>
      <c r="D478" s="1"/>
      <c r="E478" s="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51.75" customHeight="1">
      <c r="A479" s="1"/>
      <c r="B479" s="1"/>
      <c r="C479" s="2"/>
      <c r="D479" s="1"/>
      <c r="E479" s="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51.75" customHeight="1">
      <c r="A480" s="1"/>
      <c r="B480" s="1"/>
      <c r="C480" s="2"/>
      <c r="D480" s="1"/>
      <c r="E480" s="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51.75" customHeight="1">
      <c r="A481" s="1"/>
      <c r="B481" s="1"/>
      <c r="C481" s="2"/>
      <c r="D481" s="1"/>
      <c r="E481" s="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51.75" customHeight="1">
      <c r="A482" s="1"/>
      <c r="B482" s="1"/>
      <c r="C482" s="2"/>
      <c r="D482" s="1"/>
      <c r="E482" s="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51.75" customHeight="1">
      <c r="A483" s="1"/>
      <c r="B483" s="1"/>
      <c r="C483" s="2"/>
      <c r="D483" s="1"/>
      <c r="E483" s="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51.75" customHeight="1">
      <c r="A484" s="1"/>
      <c r="B484" s="1"/>
      <c r="C484" s="2"/>
      <c r="D484" s="1"/>
      <c r="E484" s="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51.75" customHeight="1">
      <c r="A485" s="1"/>
      <c r="B485" s="1"/>
      <c r="C485" s="2"/>
      <c r="D485" s="1"/>
      <c r="E485" s="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51.75" customHeight="1">
      <c r="A486" s="1"/>
      <c r="B486" s="1"/>
      <c r="C486" s="2"/>
      <c r="D486" s="1"/>
      <c r="E486" s="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51.75" customHeight="1">
      <c r="A487" s="1"/>
      <c r="B487" s="1"/>
      <c r="C487" s="2"/>
      <c r="D487" s="1"/>
      <c r="E487" s="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51.75" customHeight="1">
      <c r="A488" s="1"/>
      <c r="B488" s="1"/>
      <c r="C488" s="2"/>
      <c r="D488" s="1"/>
      <c r="E488" s="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51.75" customHeight="1">
      <c r="A489" s="1"/>
      <c r="B489" s="1"/>
      <c r="C489" s="2"/>
      <c r="D489" s="1"/>
      <c r="E489" s="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51.75" customHeight="1">
      <c r="A490" s="1"/>
      <c r="B490" s="1"/>
      <c r="C490" s="2"/>
      <c r="D490" s="1"/>
      <c r="E490" s="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51.75" customHeight="1">
      <c r="A491" s="1"/>
      <c r="B491" s="1"/>
      <c r="C491" s="2"/>
      <c r="D491" s="1"/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51.75" customHeight="1">
      <c r="A492" s="1"/>
      <c r="B492" s="1"/>
      <c r="C492" s="2"/>
      <c r="D492" s="1"/>
      <c r="E492" s="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51.75" customHeight="1">
      <c r="A493" s="1"/>
      <c r="B493" s="1"/>
      <c r="C493" s="2"/>
      <c r="D493" s="1"/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51.75" customHeight="1">
      <c r="A494" s="1"/>
      <c r="B494" s="1"/>
      <c r="C494" s="2"/>
      <c r="D494" s="1"/>
      <c r="E494" s="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51.75" customHeight="1">
      <c r="A495" s="1"/>
      <c r="B495" s="1"/>
      <c r="C495" s="2"/>
      <c r="D495" s="1"/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51.75" customHeight="1">
      <c r="A496" s="1"/>
      <c r="B496" s="1"/>
      <c r="C496" s="2"/>
      <c r="D496" s="1"/>
      <c r="E496" s="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51.75" customHeight="1">
      <c r="A497" s="1"/>
      <c r="B497" s="1"/>
      <c r="C497" s="2"/>
      <c r="D497" s="1"/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51.75" customHeight="1">
      <c r="A498" s="1"/>
      <c r="B498" s="1"/>
      <c r="C498" s="2"/>
      <c r="D498" s="1"/>
      <c r="E498" s="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51.75" customHeight="1">
      <c r="A499" s="1"/>
      <c r="B499" s="1"/>
      <c r="C499" s="2"/>
      <c r="D499" s="1"/>
      <c r="E499" s="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51.75" customHeight="1">
      <c r="A500" s="1"/>
      <c r="B500" s="1"/>
      <c r="C500" s="2"/>
      <c r="D500" s="1"/>
      <c r="E500" s="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51.75" customHeight="1">
      <c r="A501" s="1"/>
      <c r="B501" s="1"/>
      <c r="C501" s="2"/>
      <c r="D501" s="1"/>
      <c r="E501" s="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51.75" customHeight="1">
      <c r="A502" s="1"/>
      <c r="B502" s="1"/>
      <c r="C502" s="2"/>
      <c r="D502" s="1"/>
      <c r="E502" s="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51.75" customHeight="1">
      <c r="A503" s="1"/>
      <c r="B503" s="1"/>
      <c r="C503" s="2"/>
      <c r="D503" s="1"/>
      <c r="E503" s="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51.75" customHeight="1">
      <c r="A504" s="1"/>
      <c r="B504" s="1"/>
      <c r="C504" s="2"/>
      <c r="D504" s="1"/>
      <c r="E504" s="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51.75" customHeight="1">
      <c r="A505" s="1"/>
      <c r="B505" s="1"/>
      <c r="C505" s="2"/>
      <c r="D505" s="1"/>
      <c r="E505" s="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51.75" customHeight="1">
      <c r="A506" s="1"/>
      <c r="B506" s="1"/>
      <c r="C506" s="2"/>
      <c r="D506" s="1"/>
      <c r="E506" s="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51.75" customHeight="1">
      <c r="A507" s="1"/>
      <c r="B507" s="1"/>
      <c r="C507" s="2"/>
      <c r="D507" s="1"/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51.75" customHeight="1">
      <c r="A508" s="1"/>
      <c r="B508" s="1"/>
      <c r="C508" s="2"/>
      <c r="D508" s="1"/>
      <c r="E508" s="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51.75" customHeight="1">
      <c r="A509" s="1"/>
      <c r="B509" s="1"/>
      <c r="C509" s="2"/>
      <c r="D509" s="1"/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51.75" customHeight="1">
      <c r="A510" s="1"/>
      <c r="B510" s="1"/>
      <c r="C510" s="2"/>
      <c r="D510" s="1"/>
      <c r="E510" s="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51.75" customHeight="1">
      <c r="A511" s="1"/>
      <c r="B511" s="1"/>
      <c r="C511" s="2"/>
      <c r="D511" s="1"/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51.75" customHeight="1">
      <c r="A512" s="1"/>
      <c r="B512" s="1"/>
      <c r="C512" s="2"/>
      <c r="D512" s="1"/>
      <c r="E512" s="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51.75" customHeight="1">
      <c r="A513" s="1"/>
      <c r="B513" s="1"/>
      <c r="C513" s="2"/>
      <c r="D513" s="1"/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51.75" customHeight="1">
      <c r="A514" s="1"/>
      <c r="B514" s="1"/>
      <c r="C514" s="2"/>
      <c r="D514" s="1"/>
      <c r="E514" s="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51.75" customHeight="1">
      <c r="A515" s="1"/>
      <c r="B515" s="1"/>
      <c r="C515" s="2"/>
      <c r="D515" s="1"/>
      <c r="E515" s="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51.75" customHeight="1">
      <c r="A516" s="1"/>
      <c r="B516" s="1"/>
      <c r="C516" s="2"/>
      <c r="D516" s="1"/>
      <c r="E516" s="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51.75" customHeight="1">
      <c r="A517" s="1"/>
      <c r="B517" s="1"/>
      <c r="C517" s="2"/>
      <c r="D517" s="1"/>
      <c r="E517" s="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51.75" customHeight="1">
      <c r="A518" s="1"/>
      <c r="B518" s="1"/>
      <c r="C518" s="2"/>
      <c r="D518" s="1"/>
      <c r="E518" s="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51.75" customHeight="1">
      <c r="A519" s="1"/>
      <c r="B519" s="1"/>
      <c r="C519" s="2"/>
      <c r="D519" s="1"/>
      <c r="E519" s="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51.75" customHeight="1">
      <c r="A520" s="1"/>
      <c r="B520" s="1"/>
      <c r="C520" s="2"/>
      <c r="D520" s="1"/>
      <c r="E520" s="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51.75" customHeight="1">
      <c r="A521" s="1"/>
      <c r="B521" s="1"/>
      <c r="C521" s="2"/>
      <c r="D521" s="1"/>
      <c r="E521" s="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51.75" customHeight="1">
      <c r="A522" s="1"/>
      <c r="B522" s="1"/>
      <c r="C522" s="2"/>
      <c r="D522" s="1"/>
      <c r="E522" s="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51.75" customHeight="1">
      <c r="A523" s="1"/>
      <c r="B523" s="1"/>
      <c r="C523" s="2"/>
      <c r="D523" s="1"/>
      <c r="E523" s="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51.75" customHeight="1">
      <c r="A524" s="1"/>
      <c r="B524" s="1"/>
      <c r="C524" s="2"/>
      <c r="D524" s="1"/>
      <c r="E524" s="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51.75" customHeight="1">
      <c r="A525" s="1"/>
      <c r="B525" s="1"/>
      <c r="C525" s="2"/>
      <c r="D525" s="1"/>
      <c r="E525" s="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51.75" customHeight="1">
      <c r="A526" s="1"/>
      <c r="B526" s="1"/>
      <c r="C526" s="2"/>
      <c r="D526" s="1"/>
      <c r="E526" s="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51.75" customHeight="1">
      <c r="A527" s="1"/>
      <c r="B527" s="1"/>
      <c r="C527" s="2"/>
      <c r="D527" s="1"/>
      <c r="E527" s="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51.75" customHeight="1">
      <c r="A528" s="1"/>
      <c r="B528" s="1"/>
      <c r="C528" s="2"/>
      <c r="D528" s="1"/>
      <c r="E528" s="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51.75" customHeight="1">
      <c r="A529" s="1"/>
      <c r="B529" s="1"/>
      <c r="C529" s="2"/>
      <c r="D529" s="1"/>
      <c r="E529" s="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51.75" customHeight="1">
      <c r="A530" s="1"/>
      <c r="B530" s="1"/>
      <c r="C530" s="2"/>
      <c r="D530" s="1"/>
      <c r="E530" s="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51.75" customHeight="1">
      <c r="A531" s="1"/>
      <c r="B531" s="1"/>
      <c r="C531" s="2"/>
      <c r="D531" s="1"/>
      <c r="E531" s="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51.75" customHeight="1">
      <c r="A532" s="1"/>
      <c r="B532" s="1"/>
      <c r="C532" s="2"/>
      <c r="D532" s="1"/>
      <c r="E532" s="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51.75" customHeight="1">
      <c r="A533" s="1"/>
      <c r="B533" s="1"/>
      <c r="C533" s="2"/>
      <c r="D533" s="1"/>
      <c r="E533" s="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51.75" customHeight="1">
      <c r="A534" s="1"/>
      <c r="B534" s="1"/>
      <c r="C534" s="2"/>
      <c r="D534" s="1"/>
      <c r="E534" s="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51.75" customHeight="1">
      <c r="A535" s="1"/>
      <c r="B535" s="1"/>
      <c r="C535" s="2"/>
      <c r="D535" s="1"/>
      <c r="E535" s="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51.75" customHeight="1">
      <c r="A536" s="1"/>
      <c r="B536" s="1"/>
      <c r="C536" s="2"/>
      <c r="D536" s="1"/>
      <c r="E536" s="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51.75" customHeight="1">
      <c r="A537" s="1"/>
      <c r="B537" s="1"/>
      <c r="C537" s="2"/>
      <c r="D537" s="1"/>
      <c r="E537" s="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51.75" customHeight="1">
      <c r="A538" s="1"/>
      <c r="B538" s="1"/>
      <c r="C538" s="2"/>
      <c r="D538" s="1"/>
      <c r="E538" s="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51.75" customHeight="1">
      <c r="A539" s="1"/>
      <c r="B539" s="1"/>
      <c r="C539" s="2"/>
      <c r="D539" s="1"/>
      <c r="E539" s="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51.75" customHeight="1">
      <c r="A540" s="1"/>
      <c r="B540" s="1"/>
      <c r="C540" s="2"/>
      <c r="D540" s="1"/>
      <c r="E540" s="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51.75" customHeight="1">
      <c r="A541" s="1"/>
      <c r="B541" s="1"/>
      <c r="C541" s="2"/>
      <c r="D541" s="1"/>
      <c r="E541" s="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51.75" customHeight="1">
      <c r="A542" s="1"/>
      <c r="B542" s="1"/>
      <c r="C542" s="2"/>
      <c r="D542" s="1"/>
      <c r="E542" s="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51.75" customHeight="1">
      <c r="A543" s="1"/>
      <c r="B543" s="1"/>
      <c r="C543" s="2"/>
      <c r="D543" s="1"/>
      <c r="E543" s="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51.75" customHeight="1">
      <c r="A544" s="1"/>
      <c r="B544" s="1"/>
      <c r="C544" s="2"/>
      <c r="D544" s="1"/>
      <c r="E544" s="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51.75" customHeight="1">
      <c r="A545" s="1"/>
      <c r="B545" s="1"/>
      <c r="C545" s="2"/>
      <c r="D545" s="1"/>
      <c r="E545" s="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51.75" customHeight="1">
      <c r="A546" s="1"/>
      <c r="B546" s="1"/>
      <c r="C546" s="2"/>
      <c r="D546" s="1"/>
      <c r="E546" s="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51.75" customHeight="1">
      <c r="A547" s="1"/>
      <c r="B547" s="1"/>
      <c r="C547" s="2"/>
      <c r="D547" s="1"/>
      <c r="E547" s="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51.75" customHeight="1">
      <c r="A548" s="1"/>
      <c r="B548" s="1"/>
      <c r="C548" s="2"/>
      <c r="D548" s="1"/>
      <c r="E548" s="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51.75" customHeight="1">
      <c r="A549" s="1"/>
      <c r="B549" s="1"/>
      <c r="C549" s="2"/>
      <c r="D549" s="1"/>
      <c r="E549" s="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51.75" customHeight="1">
      <c r="A550" s="1"/>
      <c r="B550" s="1"/>
      <c r="C550" s="2"/>
      <c r="D550" s="1"/>
      <c r="E550" s="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51.75" customHeight="1">
      <c r="A551" s="1"/>
      <c r="B551" s="1"/>
      <c r="C551" s="2"/>
      <c r="D551" s="1"/>
      <c r="E551" s="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51.75" customHeight="1">
      <c r="A552" s="1"/>
      <c r="B552" s="1"/>
      <c r="C552" s="2"/>
      <c r="D552" s="1"/>
      <c r="E552" s="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51.75" customHeight="1">
      <c r="A553" s="1"/>
      <c r="B553" s="1"/>
      <c r="C553" s="2"/>
      <c r="D553" s="1"/>
      <c r="E553" s="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51.75" customHeight="1">
      <c r="A554" s="1"/>
      <c r="B554" s="1"/>
      <c r="C554" s="2"/>
      <c r="D554" s="1"/>
      <c r="E554" s="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51.75" customHeight="1">
      <c r="A555" s="1"/>
      <c r="B555" s="1"/>
      <c r="C555" s="2"/>
      <c r="D555" s="1"/>
      <c r="E555" s="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51.75" customHeight="1">
      <c r="A556" s="1"/>
      <c r="B556" s="1"/>
      <c r="C556" s="2"/>
      <c r="D556" s="1"/>
      <c r="E556" s="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51.75" customHeight="1">
      <c r="A557" s="1"/>
      <c r="B557" s="1"/>
      <c r="C557" s="2"/>
      <c r="D557" s="1"/>
      <c r="E557" s="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51.75" customHeight="1">
      <c r="A558" s="1"/>
      <c r="B558" s="1"/>
      <c r="C558" s="2"/>
      <c r="D558" s="1"/>
      <c r="E558" s="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51.75" customHeight="1">
      <c r="A559" s="1"/>
      <c r="B559" s="1"/>
      <c r="C559" s="2"/>
      <c r="D559" s="1"/>
      <c r="E559" s="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51.75" customHeight="1">
      <c r="A560" s="1"/>
      <c r="B560" s="1"/>
      <c r="C560" s="2"/>
      <c r="D560" s="1"/>
      <c r="E560" s="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51.75" customHeight="1">
      <c r="A561" s="1"/>
      <c r="B561" s="1"/>
      <c r="C561" s="2"/>
      <c r="D561" s="1"/>
      <c r="E561" s="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51.75" customHeight="1">
      <c r="A562" s="1"/>
      <c r="B562" s="1"/>
      <c r="C562" s="2"/>
      <c r="D562" s="1"/>
      <c r="E562" s="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51.75" customHeight="1">
      <c r="A563" s="1"/>
      <c r="B563" s="1"/>
      <c r="C563" s="2"/>
      <c r="D563" s="1"/>
      <c r="E563" s="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51.75" customHeight="1">
      <c r="A564" s="1"/>
      <c r="B564" s="1"/>
      <c r="C564" s="2"/>
      <c r="D564" s="1"/>
      <c r="E564" s="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51.75" customHeight="1">
      <c r="A565" s="1"/>
      <c r="B565" s="1"/>
      <c r="C565" s="2"/>
      <c r="D565" s="1"/>
      <c r="E565" s="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51.75" customHeight="1">
      <c r="A566" s="1"/>
      <c r="B566" s="1"/>
      <c r="C566" s="2"/>
      <c r="D566" s="1"/>
      <c r="E566" s="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51.75" customHeight="1">
      <c r="A567" s="1"/>
      <c r="B567" s="1"/>
      <c r="C567" s="2"/>
      <c r="D567" s="1"/>
      <c r="E567" s="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51.75" customHeight="1">
      <c r="A568" s="1"/>
      <c r="B568" s="1"/>
      <c r="C568" s="2"/>
      <c r="D568" s="1"/>
      <c r="E568" s="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51.75" customHeight="1">
      <c r="A569" s="1"/>
      <c r="B569" s="1"/>
      <c r="C569" s="2"/>
      <c r="D569" s="1"/>
      <c r="E569" s="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51.75" customHeight="1">
      <c r="A570" s="1"/>
      <c r="B570" s="1"/>
      <c r="C570" s="2"/>
      <c r="D570" s="1"/>
      <c r="E570" s="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51.75" customHeight="1">
      <c r="A571" s="1"/>
      <c r="B571" s="1"/>
      <c r="C571" s="2"/>
      <c r="D571" s="1"/>
      <c r="E571" s="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51.75" customHeight="1">
      <c r="A572" s="1"/>
      <c r="B572" s="1"/>
      <c r="C572" s="2"/>
      <c r="D572" s="1"/>
      <c r="E572" s="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51.75" customHeight="1">
      <c r="A573" s="1"/>
      <c r="B573" s="1"/>
      <c r="C573" s="2"/>
      <c r="D573" s="1"/>
      <c r="E573" s="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51.75" customHeight="1">
      <c r="A574" s="1"/>
      <c r="B574" s="1"/>
      <c r="C574" s="2"/>
      <c r="D574" s="1"/>
      <c r="E574" s="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51.75" customHeight="1">
      <c r="A575" s="1"/>
      <c r="B575" s="1"/>
      <c r="C575" s="2"/>
      <c r="D575" s="1"/>
      <c r="E575" s="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51.75" customHeight="1">
      <c r="A576" s="1"/>
      <c r="B576" s="1"/>
      <c r="C576" s="2"/>
      <c r="D576" s="1"/>
      <c r="E576" s="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51.75" customHeight="1">
      <c r="A577" s="1"/>
      <c r="B577" s="1"/>
      <c r="C577" s="2"/>
      <c r="D577" s="1"/>
      <c r="E577" s="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51.75" customHeight="1">
      <c r="A578" s="1"/>
      <c r="B578" s="1"/>
      <c r="C578" s="2"/>
      <c r="D578" s="1"/>
      <c r="E578" s="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51.75" customHeight="1">
      <c r="A579" s="1"/>
      <c r="B579" s="1"/>
      <c r="C579" s="2"/>
      <c r="D579" s="1"/>
      <c r="E579" s="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51.75" customHeight="1">
      <c r="A580" s="1"/>
      <c r="B580" s="1"/>
      <c r="C580" s="2"/>
      <c r="D580" s="1"/>
      <c r="E580" s="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51.75" customHeight="1">
      <c r="A581" s="1"/>
      <c r="B581" s="1"/>
      <c r="C581" s="2"/>
      <c r="D581" s="1"/>
      <c r="E581" s="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51.75" customHeight="1">
      <c r="A582" s="1"/>
      <c r="B582" s="1"/>
      <c r="C582" s="2"/>
      <c r="D582" s="1"/>
      <c r="E582" s="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51.75" customHeight="1">
      <c r="A583" s="1"/>
      <c r="B583" s="1"/>
      <c r="C583" s="2"/>
      <c r="D583" s="1"/>
      <c r="E583" s="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51.75" customHeight="1">
      <c r="A584" s="1"/>
      <c r="B584" s="1"/>
      <c r="C584" s="2"/>
      <c r="D584" s="1"/>
      <c r="E584" s="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51.75" customHeight="1">
      <c r="A585" s="1"/>
      <c r="B585" s="1"/>
      <c r="C585" s="2"/>
      <c r="D585" s="1"/>
      <c r="E585" s="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51.75" customHeight="1">
      <c r="A586" s="1"/>
      <c r="B586" s="1"/>
      <c r="C586" s="2"/>
      <c r="D586" s="1"/>
      <c r="E586" s="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51.75" customHeight="1">
      <c r="A587" s="1"/>
      <c r="B587" s="1"/>
      <c r="C587" s="2"/>
      <c r="D587" s="1"/>
      <c r="E587" s="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51.75" customHeight="1">
      <c r="A588" s="1"/>
      <c r="B588" s="1"/>
      <c r="C588" s="2"/>
      <c r="D588" s="1"/>
      <c r="E588" s="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51.75" customHeight="1">
      <c r="A589" s="1"/>
      <c r="B589" s="1"/>
      <c r="C589" s="2"/>
      <c r="D589" s="1"/>
      <c r="E589" s="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51.75" customHeight="1">
      <c r="A590" s="1"/>
      <c r="B590" s="1"/>
      <c r="C590" s="2"/>
      <c r="D590" s="1"/>
      <c r="E590" s="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51.75" customHeight="1">
      <c r="A591" s="1"/>
      <c r="B591" s="1"/>
      <c r="C591" s="2"/>
      <c r="D591" s="1"/>
      <c r="E591" s="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51.75" customHeight="1">
      <c r="A592" s="1"/>
      <c r="B592" s="1"/>
      <c r="C592" s="2"/>
      <c r="D592" s="1"/>
      <c r="E592" s="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51.75" customHeight="1">
      <c r="A593" s="1"/>
      <c r="B593" s="1"/>
      <c r="C593" s="2"/>
      <c r="D593" s="1"/>
      <c r="E593" s="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51.75" customHeight="1">
      <c r="A594" s="1"/>
      <c r="B594" s="1"/>
      <c r="C594" s="2"/>
      <c r="D594" s="1"/>
      <c r="E594" s="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51.75" customHeight="1">
      <c r="A595" s="1"/>
      <c r="B595" s="1"/>
      <c r="C595" s="2"/>
      <c r="D595" s="1"/>
      <c r="E595" s="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51.75" customHeight="1">
      <c r="A596" s="1"/>
      <c r="B596" s="1"/>
      <c r="C596" s="2"/>
      <c r="D596" s="1"/>
      <c r="E596" s="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51.75" customHeight="1">
      <c r="A597" s="1"/>
      <c r="B597" s="1"/>
      <c r="C597" s="2"/>
      <c r="D597" s="1"/>
      <c r="E597" s="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51.75" customHeight="1">
      <c r="A598" s="1"/>
      <c r="B598" s="1"/>
      <c r="C598" s="2"/>
      <c r="D598" s="1"/>
      <c r="E598" s="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51.75" customHeight="1">
      <c r="A599" s="1"/>
      <c r="B599" s="1"/>
      <c r="C599" s="2"/>
      <c r="D599" s="1"/>
      <c r="E599" s="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51.75" customHeight="1">
      <c r="A600" s="1"/>
      <c r="B600" s="1"/>
      <c r="C600" s="2"/>
      <c r="D600" s="1"/>
      <c r="E600" s="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51.75" customHeight="1">
      <c r="A601" s="1"/>
      <c r="B601" s="1"/>
      <c r="C601" s="2"/>
      <c r="D601" s="1"/>
      <c r="E601" s="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51.75" customHeight="1">
      <c r="A602" s="1"/>
      <c r="B602" s="1"/>
      <c r="C602" s="2"/>
      <c r="D602" s="1"/>
      <c r="E602" s="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51.75" customHeight="1">
      <c r="A603" s="1"/>
      <c r="B603" s="1"/>
      <c r="C603" s="2"/>
      <c r="D603" s="1"/>
      <c r="E603" s="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51.75" customHeight="1">
      <c r="A604" s="1"/>
      <c r="B604" s="1"/>
      <c r="C604" s="2"/>
      <c r="D604" s="1"/>
      <c r="E604" s="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51.75" customHeight="1">
      <c r="A605" s="1"/>
      <c r="B605" s="1"/>
      <c r="C605" s="2"/>
      <c r="D605" s="1"/>
      <c r="E605" s="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51.75" customHeight="1">
      <c r="A606" s="1"/>
      <c r="B606" s="1"/>
      <c r="C606" s="2"/>
      <c r="D606" s="1"/>
      <c r="E606" s="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51.75" customHeight="1">
      <c r="A607" s="1"/>
      <c r="B607" s="1"/>
      <c r="C607" s="2"/>
      <c r="D607" s="1"/>
      <c r="E607" s="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51.75" customHeight="1">
      <c r="A608" s="1"/>
      <c r="B608" s="1"/>
      <c r="C608" s="2"/>
      <c r="D608" s="1"/>
      <c r="E608" s="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51.75" customHeight="1">
      <c r="A609" s="1"/>
      <c r="B609" s="1"/>
      <c r="C609" s="2"/>
      <c r="D609" s="1"/>
      <c r="E609" s="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51.75" customHeight="1">
      <c r="A610" s="1"/>
      <c r="B610" s="1"/>
      <c r="C610" s="2"/>
      <c r="D610" s="1"/>
      <c r="E610" s="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51.75" customHeight="1">
      <c r="A611" s="1"/>
      <c r="B611" s="1"/>
      <c r="C611" s="2"/>
      <c r="D611" s="1"/>
      <c r="E611" s="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51.75" customHeight="1">
      <c r="A612" s="1"/>
      <c r="B612" s="1"/>
      <c r="C612" s="2"/>
      <c r="D612" s="1"/>
      <c r="E612" s="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51.75" customHeight="1">
      <c r="A613" s="1"/>
      <c r="B613" s="1"/>
      <c r="C613" s="2"/>
      <c r="D613" s="1"/>
      <c r="E613" s="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51.75" customHeight="1">
      <c r="A614" s="1"/>
      <c r="B614" s="1"/>
      <c r="C614" s="2"/>
      <c r="D614" s="1"/>
      <c r="E614" s="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51.75" customHeight="1">
      <c r="A615" s="1"/>
      <c r="B615" s="1"/>
      <c r="C615" s="2"/>
      <c r="D615" s="1"/>
      <c r="E615" s="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51.75" customHeight="1">
      <c r="A616" s="1"/>
      <c r="B616" s="1"/>
      <c r="C616" s="2"/>
      <c r="D616" s="1"/>
      <c r="E616" s="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51.75" customHeight="1">
      <c r="A617" s="1"/>
      <c r="B617" s="1"/>
      <c r="C617" s="2"/>
      <c r="D617" s="1"/>
      <c r="E617" s="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51.75" customHeight="1">
      <c r="A618" s="1"/>
      <c r="B618" s="1"/>
      <c r="C618" s="2"/>
      <c r="D618" s="1"/>
      <c r="E618" s="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51.75" customHeight="1">
      <c r="A619" s="1"/>
      <c r="B619" s="1"/>
      <c r="C619" s="2"/>
      <c r="D619" s="1"/>
      <c r="E619" s="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51.75" customHeight="1">
      <c r="A620" s="1"/>
      <c r="B620" s="1"/>
      <c r="C620" s="2"/>
      <c r="D620" s="1"/>
      <c r="E620" s="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51.75" customHeight="1">
      <c r="A621" s="1"/>
      <c r="B621" s="1"/>
      <c r="C621" s="2"/>
      <c r="D621" s="1"/>
      <c r="E621" s="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51.75" customHeight="1">
      <c r="A622" s="1"/>
      <c r="B622" s="1"/>
      <c r="C622" s="2"/>
      <c r="D622" s="1"/>
      <c r="E622" s="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51.75" customHeight="1">
      <c r="A623" s="1"/>
      <c r="B623" s="1"/>
      <c r="C623" s="2"/>
      <c r="D623" s="1"/>
      <c r="E623" s="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51.75" customHeight="1">
      <c r="A624" s="1"/>
      <c r="B624" s="1"/>
      <c r="C624" s="2"/>
      <c r="D624" s="1"/>
      <c r="E624" s="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51.75" customHeight="1">
      <c r="A625" s="1"/>
      <c r="B625" s="1"/>
      <c r="C625" s="2"/>
      <c r="D625" s="1"/>
      <c r="E625" s="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51.75" customHeight="1">
      <c r="A626" s="1"/>
      <c r="B626" s="1"/>
      <c r="C626" s="2"/>
      <c r="D626" s="1"/>
      <c r="E626" s="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51.75" customHeight="1">
      <c r="A627" s="1"/>
      <c r="B627" s="1"/>
      <c r="C627" s="2"/>
      <c r="D627" s="1"/>
      <c r="E627" s="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51.75" customHeight="1">
      <c r="A628" s="1"/>
      <c r="B628" s="1"/>
      <c r="C628" s="2"/>
      <c r="D628" s="1"/>
      <c r="E628" s="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51.75" customHeight="1">
      <c r="A629" s="1"/>
      <c r="B629" s="1"/>
      <c r="C629" s="2"/>
      <c r="D629" s="1"/>
      <c r="E629" s="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51.75" customHeight="1">
      <c r="A630" s="1"/>
      <c r="B630" s="1"/>
      <c r="C630" s="2"/>
      <c r="D630" s="1"/>
      <c r="E630" s="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51.75" customHeight="1">
      <c r="A631" s="1"/>
      <c r="B631" s="1"/>
      <c r="C631" s="2"/>
      <c r="D631" s="1"/>
      <c r="E631" s="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51.75" customHeight="1">
      <c r="A632" s="1"/>
      <c r="B632" s="1"/>
      <c r="C632" s="2"/>
      <c r="D632" s="1"/>
      <c r="E632" s="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51.75" customHeight="1">
      <c r="A633" s="1"/>
      <c r="B633" s="1"/>
      <c r="C633" s="2"/>
      <c r="D633" s="1"/>
      <c r="E633" s="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51.75" customHeight="1">
      <c r="A634" s="1"/>
      <c r="B634" s="1"/>
      <c r="C634" s="2"/>
      <c r="D634" s="1"/>
      <c r="E634" s="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51.75" customHeight="1">
      <c r="A635" s="1"/>
      <c r="B635" s="1"/>
      <c r="C635" s="2"/>
      <c r="D635" s="1"/>
      <c r="E635" s="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51.75" customHeight="1">
      <c r="A636" s="1"/>
      <c r="B636" s="1"/>
      <c r="C636" s="2"/>
      <c r="D636" s="1"/>
      <c r="E636" s="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51.75" customHeight="1">
      <c r="A637" s="1"/>
      <c r="B637" s="1"/>
      <c r="C637" s="2"/>
      <c r="D637" s="1"/>
      <c r="E637" s="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51.75" customHeight="1">
      <c r="A638" s="1"/>
      <c r="B638" s="1"/>
      <c r="C638" s="2"/>
      <c r="D638" s="1"/>
      <c r="E638" s="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51.75" customHeight="1">
      <c r="A639" s="1"/>
      <c r="B639" s="1"/>
      <c r="C639" s="2"/>
      <c r="D639" s="1"/>
      <c r="E639" s="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51.75" customHeight="1">
      <c r="A640" s="1"/>
      <c r="B640" s="1"/>
      <c r="C640" s="2"/>
      <c r="D640" s="1"/>
      <c r="E640" s="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51.75" customHeight="1">
      <c r="A641" s="1"/>
      <c r="B641" s="1"/>
      <c r="C641" s="2"/>
      <c r="D641" s="1"/>
      <c r="E641" s="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51.75" customHeight="1">
      <c r="A642" s="1"/>
      <c r="B642" s="1"/>
      <c r="C642" s="2"/>
      <c r="D642" s="1"/>
      <c r="E642" s="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51.75" customHeight="1">
      <c r="A643" s="1"/>
      <c r="B643" s="1"/>
      <c r="C643" s="2"/>
      <c r="D643" s="1"/>
      <c r="E643" s="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51.75" customHeight="1">
      <c r="A644" s="1"/>
      <c r="B644" s="1"/>
      <c r="C644" s="2"/>
      <c r="D644" s="1"/>
      <c r="E644" s="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51.75" customHeight="1">
      <c r="A645" s="1"/>
      <c r="B645" s="1"/>
      <c r="C645" s="2"/>
      <c r="D645" s="1"/>
      <c r="E645" s="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51.75" customHeight="1">
      <c r="A646" s="1"/>
      <c r="B646" s="1"/>
      <c r="C646" s="2"/>
      <c r="D646" s="1"/>
      <c r="E646" s="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51.75" customHeight="1">
      <c r="A647" s="1"/>
      <c r="B647" s="1"/>
      <c r="C647" s="2"/>
      <c r="D647" s="1"/>
      <c r="E647" s="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51.75" customHeight="1">
      <c r="A648" s="1"/>
      <c r="B648" s="1"/>
      <c r="C648" s="2"/>
      <c r="D648" s="1"/>
      <c r="E648" s="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51.75" customHeight="1">
      <c r="A649" s="1"/>
      <c r="B649" s="1"/>
      <c r="C649" s="2"/>
      <c r="D649" s="1"/>
      <c r="E649" s="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51.75" customHeight="1">
      <c r="A650" s="1"/>
      <c r="B650" s="1"/>
      <c r="C650" s="2"/>
      <c r="D650" s="1"/>
      <c r="E650" s="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51.75" customHeight="1">
      <c r="A651" s="1"/>
      <c r="B651" s="1"/>
      <c r="C651" s="2"/>
      <c r="D651" s="1"/>
      <c r="E651" s="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51.75" customHeight="1">
      <c r="A652" s="1"/>
      <c r="B652" s="1"/>
      <c r="C652" s="2"/>
      <c r="D652" s="1"/>
      <c r="E652" s="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51.75" customHeight="1">
      <c r="A653" s="1"/>
      <c r="B653" s="1"/>
      <c r="C653" s="2"/>
      <c r="D653" s="1"/>
      <c r="E653" s="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51.75" customHeight="1">
      <c r="A654" s="1"/>
      <c r="B654" s="1"/>
      <c r="C654" s="2"/>
      <c r="D654" s="1"/>
      <c r="E654" s="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51.75" customHeight="1">
      <c r="A655" s="1"/>
      <c r="B655" s="1"/>
      <c r="C655" s="2"/>
      <c r="D655" s="1"/>
      <c r="E655" s="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51.75" customHeight="1">
      <c r="A656" s="1"/>
      <c r="B656" s="1"/>
      <c r="C656" s="2"/>
      <c r="D656" s="1"/>
      <c r="E656" s="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51.75" customHeight="1">
      <c r="A657" s="1"/>
      <c r="B657" s="1"/>
      <c r="C657" s="2"/>
      <c r="D657" s="1"/>
      <c r="E657" s="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51.75" customHeight="1">
      <c r="A658" s="1"/>
      <c r="B658" s="1"/>
      <c r="C658" s="2"/>
      <c r="D658" s="1"/>
      <c r="E658" s="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51.75" customHeight="1">
      <c r="A659" s="1"/>
      <c r="B659" s="1"/>
      <c r="C659" s="2"/>
      <c r="D659" s="1"/>
      <c r="E659" s="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51.75" customHeight="1">
      <c r="A660" s="1"/>
      <c r="B660" s="1"/>
      <c r="C660" s="2"/>
      <c r="D660" s="1"/>
      <c r="E660" s="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51.75" customHeight="1">
      <c r="A661" s="1"/>
      <c r="B661" s="1"/>
      <c r="C661" s="2"/>
      <c r="D661" s="1"/>
      <c r="E661" s="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51.75" customHeight="1">
      <c r="A662" s="1"/>
      <c r="B662" s="1"/>
      <c r="C662" s="2"/>
      <c r="D662" s="1"/>
      <c r="E662" s="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51.75" customHeight="1">
      <c r="A663" s="1"/>
      <c r="B663" s="1"/>
      <c r="C663" s="2"/>
      <c r="D663" s="1"/>
      <c r="E663" s="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51.75" customHeight="1">
      <c r="A664" s="1"/>
      <c r="B664" s="1"/>
      <c r="C664" s="2"/>
      <c r="D664" s="1"/>
      <c r="E664" s="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51.75" customHeight="1">
      <c r="A665" s="1"/>
      <c r="B665" s="1"/>
      <c r="C665" s="2"/>
      <c r="D665" s="1"/>
      <c r="E665" s="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51.75" customHeight="1">
      <c r="A666" s="1"/>
      <c r="B666" s="1"/>
      <c r="C666" s="2"/>
      <c r="D666" s="1"/>
      <c r="E666" s="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51.75" customHeight="1">
      <c r="A667" s="1"/>
      <c r="B667" s="1"/>
      <c r="C667" s="2"/>
      <c r="D667" s="1"/>
      <c r="E667" s="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51.75" customHeight="1">
      <c r="A668" s="1"/>
      <c r="B668" s="1"/>
      <c r="C668" s="2"/>
      <c r="D668" s="1"/>
      <c r="E668" s="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51.75" customHeight="1">
      <c r="A669" s="1"/>
      <c r="B669" s="1"/>
      <c r="C669" s="2"/>
      <c r="D669" s="1"/>
      <c r="E669" s="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51.75" customHeight="1">
      <c r="A670" s="1"/>
      <c r="B670" s="1"/>
      <c r="C670" s="2"/>
      <c r="D670" s="1"/>
      <c r="E670" s="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51.75" customHeight="1">
      <c r="A671" s="1"/>
      <c r="B671" s="1"/>
      <c r="C671" s="2"/>
      <c r="D671" s="1"/>
      <c r="E671" s="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51.75" customHeight="1">
      <c r="A672" s="1"/>
      <c r="B672" s="1"/>
      <c r="C672" s="2"/>
      <c r="D672" s="1"/>
      <c r="E672" s="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51.75" customHeight="1">
      <c r="A673" s="1"/>
      <c r="B673" s="1"/>
      <c r="C673" s="2"/>
      <c r="D673" s="1"/>
      <c r="E673" s="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51.75" customHeight="1">
      <c r="A674" s="1"/>
      <c r="B674" s="1"/>
      <c r="C674" s="2"/>
      <c r="D674" s="1"/>
      <c r="E674" s="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51.75" customHeight="1">
      <c r="A675" s="1"/>
      <c r="B675" s="1"/>
      <c r="C675" s="2"/>
      <c r="D675" s="1"/>
      <c r="E675" s="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51.75" customHeight="1">
      <c r="A676" s="1"/>
      <c r="B676" s="1"/>
      <c r="C676" s="2"/>
      <c r="D676" s="1"/>
      <c r="E676" s="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51.75" customHeight="1">
      <c r="A677" s="1"/>
      <c r="B677" s="1"/>
      <c r="C677" s="2"/>
      <c r="D677" s="1"/>
      <c r="E677" s="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51.75" customHeight="1">
      <c r="A678" s="1"/>
      <c r="B678" s="1"/>
      <c r="C678" s="2"/>
      <c r="D678" s="1"/>
      <c r="E678" s="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51.75" customHeight="1">
      <c r="A679" s="1"/>
      <c r="B679" s="1"/>
      <c r="C679" s="2"/>
      <c r="D679" s="1"/>
      <c r="E679" s="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51.75" customHeight="1">
      <c r="A680" s="1"/>
      <c r="B680" s="1"/>
      <c r="C680" s="2"/>
      <c r="D680" s="1"/>
      <c r="E680" s="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51.75" customHeight="1">
      <c r="A681" s="1"/>
      <c r="B681" s="1"/>
      <c r="C681" s="2"/>
      <c r="D681" s="1"/>
      <c r="E681" s="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51.75" customHeight="1">
      <c r="A682" s="1"/>
      <c r="B682" s="1"/>
      <c r="C682" s="2"/>
      <c r="D682" s="1"/>
      <c r="E682" s="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51.75" customHeight="1">
      <c r="A683" s="1"/>
      <c r="B683" s="1"/>
      <c r="C683" s="2"/>
      <c r="D683" s="1"/>
      <c r="E683" s="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51.75" customHeight="1">
      <c r="A684" s="1"/>
      <c r="B684" s="1"/>
      <c r="C684" s="2"/>
      <c r="D684" s="1"/>
      <c r="E684" s="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51.75" customHeight="1">
      <c r="A685" s="1"/>
      <c r="B685" s="1"/>
      <c r="C685" s="2"/>
      <c r="D685" s="1"/>
      <c r="E685" s="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51.75" customHeight="1">
      <c r="A686" s="1"/>
      <c r="B686" s="1"/>
      <c r="C686" s="2"/>
      <c r="D686" s="1"/>
      <c r="E686" s="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51.75" customHeight="1">
      <c r="A687" s="1"/>
      <c r="B687" s="1"/>
      <c r="C687" s="2"/>
      <c r="D687" s="1"/>
      <c r="E687" s="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51.75" customHeight="1">
      <c r="A688" s="1"/>
      <c r="B688" s="1"/>
      <c r="C688" s="2"/>
      <c r="D688" s="1"/>
      <c r="E688" s="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51.75" customHeight="1">
      <c r="A689" s="1"/>
      <c r="B689" s="1"/>
      <c r="C689" s="2"/>
      <c r="D689" s="1"/>
      <c r="E689" s="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51.75" customHeight="1">
      <c r="A690" s="1"/>
      <c r="B690" s="1"/>
      <c r="C690" s="2"/>
      <c r="D690" s="1"/>
      <c r="E690" s="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51.75" customHeight="1">
      <c r="A691" s="1"/>
      <c r="B691" s="1"/>
      <c r="C691" s="2"/>
      <c r="D691" s="1"/>
      <c r="E691" s="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51.75" customHeight="1">
      <c r="A692" s="1"/>
      <c r="B692" s="1"/>
      <c r="C692" s="2"/>
      <c r="D692" s="1"/>
      <c r="E692" s="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51.75" customHeight="1">
      <c r="A693" s="1"/>
      <c r="B693" s="1"/>
      <c r="C693" s="2"/>
      <c r="D693" s="1"/>
      <c r="E693" s="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51.75" customHeight="1">
      <c r="A694" s="1"/>
      <c r="B694" s="1"/>
      <c r="C694" s="2"/>
      <c r="D694" s="1"/>
      <c r="E694" s="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51.75" customHeight="1">
      <c r="A695" s="1"/>
      <c r="B695" s="1"/>
      <c r="C695" s="2"/>
      <c r="D695" s="1"/>
      <c r="E695" s="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51.75" customHeight="1">
      <c r="A696" s="1"/>
      <c r="B696" s="1"/>
      <c r="C696" s="2"/>
      <c r="D696" s="1"/>
      <c r="E696" s="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51.75" customHeight="1">
      <c r="A697" s="1"/>
      <c r="B697" s="1"/>
      <c r="C697" s="2"/>
      <c r="D697" s="1"/>
      <c r="E697" s="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51.75" customHeight="1">
      <c r="A698" s="1"/>
      <c r="B698" s="1"/>
      <c r="C698" s="2"/>
      <c r="D698" s="1"/>
      <c r="E698" s="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51.75" customHeight="1">
      <c r="A699" s="1"/>
      <c r="B699" s="1"/>
      <c r="C699" s="2"/>
      <c r="D699" s="1"/>
      <c r="E699" s="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51.75" customHeight="1">
      <c r="A700" s="1"/>
      <c r="B700" s="1"/>
      <c r="C700" s="2"/>
      <c r="D700" s="1"/>
      <c r="E700" s="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51.75" customHeight="1">
      <c r="A701" s="1"/>
      <c r="B701" s="1"/>
      <c r="C701" s="2"/>
      <c r="D701" s="1"/>
      <c r="E701" s="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51.75" customHeight="1">
      <c r="A702" s="1"/>
      <c r="B702" s="1"/>
      <c r="C702" s="2"/>
      <c r="D702" s="1"/>
      <c r="E702" s="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51.75" customHeight="1">
      <c r="A703" s="1"/>
      <c r="B703" s="1"/>
      <c r="C703" s="2"/>
      <c r="D703" s="1"/>
      <c r="E703" s="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51.75" customHeight="1">
      <c r="A704" s="1"/>
      <c r="B704" s="1"/>
      <c r="C704" s="2"/>
      <c r="D704" s="1"/>
      <c r="E704" s="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51.75" customHeight="1">
      <c r="A705" s="1"/>
      <c r="B705" s="1"/>
      <c r="C705" s="2"/>
      <c r="D705" s="1"/>
      <c r="E705" s="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51.75" customHeight="1">
      <c r="A706" s="1"/>
      <c r="B706" s="1"/>
      <c r="C706" s="2"/>
      <c r="D706" s="1"/>
      <c r="E706" s="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51.75" customHeight="1">
      <c r="A707" s="1"/>
      <c r="B707" s="1"/>
      <c r="C707" s="2"/>
      <c r="D707" s="1"/>
      <c r="E707" s="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51.75" customHeight="1">
      <c r="A708" s="1"/>
      <c r="B708" s="1"/>
      <c r="C708" s="2"/>
      <c r="D708" s="1"/>
      <c r="E708" s="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51.75" customHeight="1">
      <c r="A709" s="1"/>
      <c r="B709" s="1"/>
      <c r="C709" s="2"/>
      <c r="D709" s="1"/>
      <c r="E709" s="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51.75" customHeight="1">
      <c r="A710" s="1"/>
      <c r="B710" s="1"/>
      <c r="C710" s="2"/>
      <c r="D710" s="1"/>
      <c r="E710" s="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51.75" customHeight="1">
      <c r="A711" s="1"/>
      <c r="B711" s="1"/>
      <c r="C711" s="2"/>
      <c r="D711" s="1"/>
      <c r="E711" s="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51.75" customHeight="1">
      <c r="A712" s="1"/>
      <c r="B712" s="1"/>
      <c r="C712" s="2"/>
      <c r="D712" s="1"/>
      <c r="E712" s="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51.75" customHeight="1">
      <c r="A713" s="1"/>
      <c r="B713" s="1"/>
      <c r="C713" s="2"/>
      <c r="D713" s="1"/>
      <c r="E713" s="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51.75" customHeight="1">
      <c r="A714" s="1"/>
      <c r="B714" s="1"/>
      <c r="C714" s="2"/>
      <c r="D714" s="1"/>
      <c r="E714" s="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51.75" customHeight="1">
      <c r="A715" s="1"/>
      <c r="B715" s="1"/>
      <c r="C715" s="2"/>
      <c r="D715" s="1"/>
      <c r="E715" s="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51.75" customHeight="1">
      <c r="A716" s="1"/>
      <c r="B716" s="1"/>
      <c r="C716" s="2"/>
      <c r="D716" s="1"/>
      <c r="E716" s="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51.75" customHeight="1">
      <c r="A717" s="1"/>
      <c r="B717" s="1"/>
      <c r="C717" s="2"/>
      <c r="D717" s="1"/>
      <c r="E717" s="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51.75" customHeight="1">
      <c r="A718" s="1"/>
      <c r="B718" s="1"/>
      <c r="C718" s="2"/>
      <c r="D718" s="1"/>
      <c r="E718" s="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51.75" customHeight="1">
      <c r="A719" s="1"/>
      <c r="B719" s="1"/>
      <c r="C719" s="2"/>
      <c r="D719" s="1"/>
      <c r="E719" s="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51.75" customHeight="1">
      <c r="A720" s="1"/>
      <c r="B720" s="1"/>
      <c r="C720" s="2"/>
      <c r="D720" s="1"/>
      <c r="E720" s="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51.75" customHeight="1">
      <c r="A721" s="1"/>
      <c r="B721" s="1"/>
      <c r="C721" s="2"/>
      <c r="D721" s="1"/>
      <c r="E721" s="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51.75" customHeight="1">
      <c r="A722" s="1"/>
      <c r="B722" s="1"/>
      <c r="C722" s="2"/>
      <c r="D722" s="1"/>
      <c r="E722" s="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51.75" customHeight="1">
      <c r="A723" s="1"/>
      <c r="B723" s="1"/>
      <c r="C723" s="2"/>
      <c r="D723" s="1"/>
      <c r="E723" s="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51.75" customHeight="1">
      <c r="A724" s="1"/>
      <c r="B724" s="1"/>
      <c r="C724" s="2"/>
      <c r="D724" s="1"/>
      <c r="E724" s="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51.75" customHeight="1">
      <c r="A725" s="1"/>
      <c r="B725" s="1"/>
      <c r="C725" s="2"/>
      <c r="D725" s="1"/>
      <c r="E725" s="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51.75" customHeight="1">
      <c r="A726" s="1"/>
      <c r="B726" s="1"/>
      <c r="C726" s="2"/>
      <c r="D726" s="1"/>
      <c r="E726" s="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51.75" customHeight="1">
      <c r="A727" s="1"/>
      <c r="B727" s="1"/>
      <c r="C727" s="2"/>
      <c r="D727" s="1"/>
      <c r="E727" s="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51.75" customHeight="1">
      <c r="A728" s="1"/>
      <c r="B728" s="1"/>
      <c r="C728" s="2"/>
      <c r="D728" s="1"/>
      <c r="E728" s="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51.75" customHeight="1">
      <c r="A729" s="1"/>
      <c r="B729" s="1"/>
      <c r="C729" s="2"/>
      <c r="D729" s="1"/>
      <c r="E729" s="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51.75" customHeight="1">
      <c r="A730" s="1"/>
      <c r="B730" s="1"/>
      <c r="C730" s="2"/>
      <c r="D730" s="1"/>
      <c r="E730" s="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51.75" customHeight="1">
      <c r="A731" s="1"/>
      <c r="B731" s="1"/>
      <c r="C731" s="2"/>
      <c r="D731" s="1"/>
      <c r="E731" s="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51.75" customHeight="1">
      <c r="A732" s="1"/>
      <c r="B732" s="1"/>
      <c r="C732" s="2"/>
      <c r="D732" s="1"/>
      <c r="E732" s="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51.75" customHeight="1">
      <c r="A733" s="1"/>
      <c r="B733" s="1"/>
      <c r="C733" s="2"/>
      <c r="D733" s="1"/>
      <c r="E733" s="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51.75" customHeight="1">
      <c r="A734" s="1"/>
      <c r="B734" s="1"/>
      <c r="C734" s="2"/>
      <c r="D734" s="1"/>
      <c r="E734" s="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51.75" customHeight="1">
      <c r="A735" s="1"/>
      <c r="B735" s="1"/>
      <c r="C735" s="2"/>
      <c r="D735" s="1"/>
      <c r="E735" s="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51.75" customHeight="1">
      <c r="A736" s="1"/>
      <c r="B736" s="1"/>
      <c r="C736" s="2"/>
      <c r="D736" s="1"/>
      <c r="E736" s="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51.75" customHeight="1">
      <c r="A737" s="1"/>
      <c r="B737" s="1"/>
      <c r="C737" s="2"/>
      <c r="D737" s="1"/>
      <c r="E737" s="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51.75" customHeight="1">
      <c r="A738" s="1"/>
      <c r="B738" s="1"/>
      <c r="C738" s="2"/>
      <c r="D738" s="1"/>
      <c r="E738" s="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51.75" customHeight="1">
      <c r="A739" s="1"/>
      <c r="B739" s="1"/>
      <c r="C739" s="2"/>
      <c r="D739" s="1"/>
      <c r="E739" s="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51.75" customHeight="1">
      <c r="A740" s="1"/>
      <c r="B740" s="1"/>
      <c r="C740" s="2"/>
      <c r="D740" s="1"/>
      <c r="E740" s="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51.75" customHeight="1">
      <c r="A741" s="1"/>
      <c r="B741" s="1"/>
      <c r="C741" s="2"/>
      <c r="D741" s="1"/>
      <c r="E741" s="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51.75" customHeight="1">
      <c r="A742" s="1"/>
      <c r="B742" s="1"/>
      <c r="C742" s="2"/>
      <c r="D742" s="1"/>
      <c r="E742" s="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51.75" customHeight="1">
      <c r="A743" s="1"/>
      <c r="B743" s="1"/>
      <c r="C743" s="2"/>
      <c r="D743" s="1"/>
      <c r="E743" s="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51.75" customHeight="1">
      <c r="A744" s="1"/>
      <c r="B744" s="1"/>
      <c r="C744" s="2"/>
      <c r="D744" s="1"/>
      <c r="E744" s="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51.75" customHeight="1">
      <c r="A745" s="1"/>
      <c r="B745" s="1"/>
      <c r="C745" s="2"/>
      <c r="D745" s="1"/>
      <c r="E745" s="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51.75" customHeight="1">
      <c r="A746" s="1"/>
      <c r="B746" s="1"/>
      <c r="C746" s="2"/>
      <c r="D746" s="1"/>
      <c r="E746" s="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51.75" customHeight="1">
      <c r="A747" s="1"/>
      <c r="B747" s="1"/>
      <c r="C747" s="2"/>
      <c r="D747" s="1"/>
      <c r="E747" s="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51.75" customHeight="1">
      <c r="A748" s="1"/>
      <c r="B748" s="1"/>
      <c r="C748" s="2"/>
      <c r="D748" s="1"/>
      <c r="E748" s="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51.75" customHeight="1">
      <c r="A749" s="1"/>
      <c r="B749" s="1"/>
      <c r="C749" s="2"/>
      <c r="D749" s="1"/>
      <c r="E749" s="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51.75" customHeight="1">
      <c r="A750" s="1"/>
      <c r="B750" s="1"/>
      <c r="C750" s="2"/>
      <c r="D750" s="1"/>
      <c r="E750" s="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51.75" customHeight="1">
      <c r="A751" s="1"/>
      <c r="B751" s="1"/>
      <c r="C751" s="2"/>
      <c r="D751" s="1"/>
      <c r="E751" s="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51.75" customHeight="1">
      <c r="A752" s="1"/>
      <c r="B752" s="1"/>
      <c r="C752" s="2"/>
      <c r="D752" s="1"/>
      <c r="E752" s="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51.75" customHeight="1">
      <c r="A753" s="1"/>
      <c r="B753" s="1"/>
      <c r="C753" s="2"/>
      <c r="D753" s="1"/>
      <c r="E753" s="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51.75" customHeight="1">
      <c r="A754" s="1"/>
      <c r="B754" s="1"/>
      <c r="C754" s="2"/>
      <c r="D754" s="1"/>
      <c r="E754" s="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51.75" customHeight="1">
      <c r="A755" s="1"/>
      <c r="B755" s="1"/>
      <c r="C755" s="2"/>
      <c r="D755" s="1"/>
      <c r="E755" s="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51.75" customHeight="1">
      <c r="A756" s="1"/>
      <c r="B756" s="1"/>
      <c r="C756" s="2"/>
      <c r="D756" s="1"/>
      <c r="E756" s="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51.75" customHeight="1">
      <c r="A757" s="1"/>
      <c r="B757" s="1"/>
      <c r="C757" s="2"/>
      <c r="D757" s="1"/>
      <c r="E757" s="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51.75" customHeight="1">
      <c r="A758" s="1"/>
      <c r="B758" s="1"/>
      <c r="C758" s="2"/>
      <c r="D758" s="1"/>
      <c r="E758" s="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51.75" customHeight="1">
      <c r="A759" s="1"/>
      <c r="B759" s="1"/>
      <c r="C759" s="2"/>
      <c r="D759" s="1"/>
      <c r="E759" s="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51.75" customHeight="1">
      <c r="A760" s="1"/>
      <c r="B760" s="1"/>
      <c r="C760" s="2"/>
      <c r="D760" s="1"/>
      <c r="E760" s="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51.75" customHeight="1">
      <c r="A761" s="1"/>
      <c r="B761" s="1"/>
      <c r="C761" s="2"/>
      <c r="D761" s="1"/>
      <c r="E761" s="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51.75" customHeight="1">
      <c r="A762" s="1"/>
      <c r="B762" s="1"/>
      <c r="C762" s="2"/>
      <c r="D762" s="1"/>
      <c r="E762" s="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51.75" customHeight="1">
      <c r="A763" s="1"/>
      <c r="B763" s="1"/>
      <c r="C763" s="2"/>
      <c r="D763" s="1"/>
      <c r="E763" s="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51.75" customHeight="1">
      <c r="A764" s="1"/>
      <c r="B764" s="1"/>
      <c r="C764" s="2"/>
      <c r="D764" s="1"/>
      <c r="E764" s="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51.75" customHeight="1">
      <c r="A765" s="1"/>
      <c r="B765" s="1"/>
      <c r="C765" s="2"/>
      <c r="D765" s="1"/>
      <c r="E765" s="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51.75" customHeight="1">
      <c r="A766" s="1"/>
      <c r="B766" s="1"/>
      <c r="C766" s="2"/>
      <c r="D766" s="1"/>
      <c r="E766" s="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51.75" customHeight="1">
      <c r="A767" s="1"/>
      <c r="B767" s="1"/>
      <c r="C767" s="2"/>
      <c r="D767" s="1"/>
      <c r="E767" s="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51.75" customHeight="1">
      <c r="A768" s="1"/>
      <c r="B768" s="1"/>
      <c r="C768" s="2"/>
      <c r="D768" s="1"/>
      <c r="E768" s="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51.75" customHeight="1">
      <c r="A769" s="1"/>
      <c r="B769" s="1"/>
      <c r="C769" s="2"/>
      <c r="D769" s="1"/>
      <c r="E769" s="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51.75" customHeight="1">
      <c r="A770" s="1"/>
      <c r="B770" s="1"/>
      <c r="C770" s="2"/>
      <c r="D770" s="1"/>
      <c r="E770" s="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51.75" customHeight="1">
      <c r="A771" s="1"/>
      <c r="B771" s="1"/>
      <c r="C771" s="2"/>
      <c r="D771" s="1"/>
      <c r="E771" s="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51.75" customHeight="1">
      <c r="A772" s="1"/>
      <c r="B772" s="1"/>
      <c r="C772" s="2"/>
      <c r="D772" s="1"/>
      <c r="E772" s="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51.75" customHeight="1">
      <c r="A773" s="1"/>
      <c r="B773" s="1"/>
      <c r="C773" s="2"/>
      <c r="D773" s="1"/>
      <c r="E773" s="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51.75" customHeight="1">
      <c r="A774" s="1"/>
      <c r="B774" s="1"/>
      <c r="C774" s="2"/>
      <c r="D774" s="1"/>
      <c r="E774" s="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51.75" customHeight="1">
      <c r="A775" s="1"/>
      <c r="B775" s="1"/>
      <c r="C775" s="2"/>
      <c r="D775" s="1"/>
      <c r="E775" s="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51.75" customHeight="1">
      <c r="A776" s="1"/>
      <c r="B776" s="1"/>
      <c r="C776" s="2"/>
      <c r="D776" s="1"/>
      <c r="E776" s="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51.75" customHeight="1">
      <c r="A777" s="1"/>
      <c r="B777" s="1"/>
      <c r="C777" s="2"/>
      <c r="D777" s="1"/>
      <c r="E777" s="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51.75" customHeight="1">
      <c r="A778" s="1"/>
      <c r="B778" s="1"/>
      <c r="C778" s="2"/>
      <c r="D778" s="1"/>
      <c r="E778" s="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51.75" customHeight="1">
      <c r="A779" s="1"/>
      <c r="B779" s="1"/>
      <c r="C779" s="2"/>
      <c r="D779" s="1"/>
      <c r="E779" s="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51.75" customHeight="1">
      <c r="A780" s="1"/>
      <c r="B780" s="1"/>
      <c r="C780" s="2"/>
      <c r="D780" s="1"/>
      <c r="E780" s="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51.75" customHeight="1">
      <c r="A781" s="1"/>
      <c r="B781" s="1"/>
      <c r="C781" s="2"/>
      <c r="D781" s="1"/>
      <c r="E781" s="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51.75" customHeight="1">
      <c r="A782" s="1"/>
      <c r="B782" s="1"/>
      <c r="C782" s="2"/>
      <c r="D782" s="1"/>
      <c r="E782" s="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51.75" customHeight="1">
      <c r="A783" s="1"/>
      <c r="B783" s="1"/>
      <c r="C783" s="2"/>
      <c r="D783" s="1"/>
      <c r="E783" s="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51.75" customHeight="1">
      <c r="A784" s="1"/>
      <c r="B784" s="1"/>
      <c r="C784" s="2"/>
      <c r="D784" s="1"/>
      <c r="E784" s="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51.75" customHeight="1">
      <c r="A785" s="1"/>
      <c r="B785" s="1"/>
      <c r="C785" s="2"/>
      <c r="D785" s="1"/>
      <c r="E785" s="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51.75" customHeight="1">
      <c r="A786" s="1"/>
      <c r="B786" s="1"/>
      <c r="C786" s="2"/>
      <c r="D786" s="1"/>
      <c r="E786" s="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51.75" customHeight="1">
      <c r="A787" s="1"/>
      <c r="B787" s="1"/>
      <c r="C787" s="2"/>
      <c r="D787" s="1"/>
      <c r="E787" s="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51.75" customHeight="1">
      <c r="A788" s="1"/>
      <c r="B788" s="1"/>
      <c r="C788" s="2"/>
      <c r="D788" s="1"/>
      <c r="E788" s="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51.75" customHeight="1">
      <c r="A789" s="1"/>
      <c r="B789" s="1"/>
      <c r="C789" s="2"/>
      <c r="D789" s="1"/>
      <c r="E789" s="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51.75" customHeight="1">
      <c r="A790" s="1"/>
      <c r="B790" s="1"/>
      <c r="C790" s="2"/>
      <c r="D790" s="1"/>
      <c r="E790" s="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51.75" customHeight="1">
      <c r="A791" s="1"/>
      <c r="B791" s="1"/>
      <c r="C791" s="2"/>
      <c r="D791" s="1"/>
      <c r="E791" s="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51.75" customHeight="1">
      <c r="A792" s="1"/>
      <c r="B792" s="1"/>
      <c r="C792" s="2"/>
      <c r="D792" s="1"/>
      <c r="E792" s="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51.75" customHeight="1">
      <c r="A793" s="1"/>
      <c r="B793" s="1"/>
      <c r="C793" s="2"/>
      <c r="D793" s="1"/>
      <c r="E793" s="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51.75" customHeight="1">
      <c r="A794" s="1"/>
      <c r="B794" s="1"/>
      <c r="C794" s="2"/>
      <c r="D794" s="1"/>
      <c r="E794" s="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51.75" customHeight="1">
      <c r="A795" s="1"/>
      <c r="B795" s="1"/>
      <c r="C795" s="2"/>
      <c r="D795" s="1"/>
      <c r="E795" s="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51.75" customHeight="1">
      <c r="A796" s="1"/>
      <c r="B796" s="1"/>
      <c r="C796" s="2"/>
      <c r="D796" s="1"/>
      <c r="E796" s="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51.75" customHeight="1">
      <c r="A797" s="1"/>
      <c r="B797" s="1"/>
      <c r="C797" s="2"/>
      <c r="D797" s="1"/>
      <c r="E797" s="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51.75" customHeight="1">
      <c r="A798" s="1"/>
      <c r="B798" s="1"/>
      <c r="C798" s="2"/>
      <c r="D798" s="1"/>
      <c r="E798" s="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51.75" customHeight="1">
      <c r="A799" s="1"/>
      <c r="B799" s="1"/>
      <c r="C799" s="2"/>
      <c r="D799" s="1"/>
      <c r="E799" s="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51.75" customHeight="1">
      <c r="A800" s="1"/>
      <c r="B800" s="1"/>
      <c r="C800" s="2"/>
      <c r="D800" s="1"/>
      <c r="E800" s="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51.75" customHeight="1">
      <c r="A801" s="1"/>
      <c r="B801" s="1"/>
      <c r="C801" s="2"/>
      <c r="D801" s="1"/>
      <c r="E801" s="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51.75" customHeight="1">
      <c r="A802" s="1"/>
      <c r="B802" s="1"/>
      <c r="C802" s="2"/>
      <c r="D802" s="1"/>
      <c r="E802" s="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51.75" customHeight="1">
      <c r="A803" s="1"/>
      <c r="B803" s="1"/>
      <c r="C803" s="2"/>
      <c r="D803" s="1"/>
      <c r="E803" s="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51.75" customHeight="1">
      <c r="A804" s="1"/>
      <c r="B804" s="1"/>
      <c r="C804" s="2"/>
      <c r="D804" s="1"/>
      <c r="E804" s="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51.75" customHeight="1">
      <c r="A805" s="1"/>
      <c r="B805" s="1"/>
      <c r="C805" s="2"/>
      <c r="D805" s="1"/>
      <c r="E805" s="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51.75" customHeight="1">
      <c r="A806" s="1"/>
      <c r="B806" s="1"/>
      <c r="C806" s="2"/>
      <c r="D806" s="1"/>
      <c r="E806" s="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51.75" customHeight="1">
      <c r="A807" s="1"/>
      <c r="B807" s="1"/>
      <c r="C807" s="2"/>
      <c r="D807" s="1"/>
      <c r="E807" s="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51.75" customHeight="1">
      <c r="A808" s="1"/>
      <c r="B808" s="1"/>
      <c r="C808" s="2"/>
      <c r="D808" s="1"/>
      <c r="E808" s="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51.75" customHeight="1">
      <c r="A809" s="1"/>
      <c r="B809" s="1"/>
      <c r="C809" s="2"/>
      <c r="D809" s="1"/>
      <c r="E809" s="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51.75" customHeight="1">
      <c r="A810" s="1"/>
      <c r="B810" s="1"/>
      <c r="C810" s="2"/>
      <c r="D810" s="1"/>
      <c r="E810" s="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51.75" customHeight="1">
      <c r="A811" s="1"/>
      <c r="B811" s="1"/>
      <c r="C811" s="2"/>
      <c r="D811" s="1"/>
      <c r="E811" s="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51.75" customHeight="1">
      <c r="A812" s="1"/>
      <c r="B812" s="1"/>
      <c r="C812" s="2"/>
      <c r="D812" s="1"/>
      <c r="E812" s="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51.75" customHeight="1">
      <c r="A813" s="1"/>
      <c r="B813" s="1"/>
      <c r="C813" s="2"/>
      <c r="D813" s="1"/>
      <c r="E813" s="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51.75" customHeight="1">
      <c r="A814" s="1"/>
      <c r="B814" s="1"/>
      <c r="C814" s="2"/>
      <c r="D814" s="1"/>
      <c r="E814" s="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51.75" customHeight="1">
      <c r="A815" s="1"/>
      <c r="B815" s="1"/>
      <c r="C815" s="2"/>
      <c r="D815" s="1"/>
      <c r="E815" s="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51.75" customHeight="1">
      <c r="A816" s="1"/>
      <c r="B816" s="1"/>
      <c r="C816" s="2"/>
      <c r="D816" s="1"/>
      <c r="E816" s="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51.75" customHeight="1">
      <c r="A817" s="1"/>
      <c r="B817" s="1"/>
      <c r="C817" s="2"/>
      <c r="D817" s="1"/>
      <c r="E817" s="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51.75" customHeight="1">
      <c r="A818" s="1"/>
      <c r="B818" s="1"/>
      <c r="C818" s="2"/>
      <c r="D818" s="1"/>
      <c r="E818" s="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51.75" customHeight="1">
      <c r="A819" s="1"/>
      <c r="B819" s="1"/>
      <c r="C819" s="2"/>
      <c r="D819" s="1"/>
      <c r="E819" s="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51.75" customHeight="1">
      <c r="A820" s="1"/>
      <c r="B820" s="1"/>
      <c r="C820" s="2"/>
      <c r="D820" s="1"/>
      <c r="E820" s="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51.75" customHeight="1">
      <c r="A821" s="1"/>
      <c r="B821" s="1"/>
      <c r="C821" s="2"/>
      <c r="D821" s="1"/>
      <c r="E821" s="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51.75" customHeight="1">
      <c r="A822" s="1"/>
      <c r="B822" s="1"/>
      <c r="C822" s="2"/>
      <c r="D822" s="1"/>
      <c r="E822" s="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51.75" customHeight="1">
      <c r="A823" s="1"/>
      <c r="B823" s="1"/>
      <c r="C823" s="2"/>
      <c r="D823" s="1"/>
      <c r="E823" s="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51.75" customHeight="1">
      <c r="A824" s="1"/>
      <c r="B824" s="1"/>
      <c r="C824" s="2"/>
      <c r="D824" s="1"/>
      <c r="E824" s="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51.75" customHeight="1">
      <c r="A825" s="1"/>
      <c r="B825" s="1"/>
      <c r="C825" s="2"/>
      <c r="D825" s="1"/>
      <c r="E825" s="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51.75" customHeight="1">
      <c r="A826" s="1"/>
      <c r="B826" s="1"/>
      <c r="C826" s="2"/>
      <c r="D826" s="1"/>
      <c r="E826" s="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51.75" customHeight="1">
      <c r="A827" s="1"/>
      <c r="B827" s="1"/>
      <c r="C827" s="2"/>
      <c r="D827" s="1"/>
      <c r="E827" s="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51.75" customHeight="1">
      <c r="A828" s="1"/>
      <c r="B828" s="1"/>
      <c r="C828" s="2"/>
      <c r="D828" s="1"/>
      <c r="E828" s="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51.75" customHeight="1">
      <c r="A829" s="1"/>
      <c r="B829" s="1"/>
      <c r="C829" s="2"/>
      <c r="D829" s="1"/>
      <c r="E829" s="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51.75" customHeight="1">
      <c r="A830" s="1"/>
      <c r="B830" s="1"/>
      <c r="C830" s="2"/>
      <c r="D830" s="1"/>
      <c r="E830" s="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51.75" customHeight="1">
      <c r="A831" s="1"/>
      <c r="B831" s="1"/>
      <c r="C831" s="2"/>
      <c r="D831" s="1"/>
      <c r="E831" s="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51.75" customHeight="1">
      <c r="A832" s="1"/>
      <c r="B832" s="1"/>
      <c r="C832" s="2"/>
      <c r="D832" s="1"/>
      <c r="E832" s="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51.75" customHeight="1">
      <c r="A833" s="1"/>
      <c r="B833" s="1"/>
      <c r="C833" s="2"/>
      <c r="D833" s="1"/>
      <c r="E833" s="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51.75" customHeight="1">
      <c r="A834" s="1"/>
      <c r="B834" s="1"/>
      <c r="C834" s="2"/>
      <c r="D834" s="1"/>
      <c r="E834" s="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51.75" customHeight="1">
      <c r="A835" s="1"/>
      <c r="B835" s="1"/>
      <c r="C835" s="2"/>
      <c r="D835" s="1"/>
      <c r="E835" s="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51.75" customHeight="1">
      <c r="A836" s="1"/>
      <c r="B836" s="1"/>
      <c r="C836" s="2"/>
      <c r="D836" s="1"/>
      <c r="E836" s="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51.75" customHeight="1">
      <c r="A837" s="1"/>
      <c r="B837" s="1"/>
      <c r="C837" s="2"/>
      <c r="D837" s="1"/>
      <c r="E837" s="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51.75" customHeight="1">
      <c r="A838" s="1"/>
      <c r="B838" s="1"/>
      <c r="C838" s="2"/>
      <c r="D838" s="1"/>
      <c r="E838" s="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51.75" customHeight="1">
      <c r="A839" s="1"/>
      <c r="B839" s="1"/>
      <c r="C839" s="2"/>
      <c r="D839" s="1"/>
      <c r="E839" s="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51.75" customHeight="1">
      <c r="A840" s="1"/>
      <c r="B840" s="1"/>
      <c r="C840" s="2"/>
      <c r="D840" s="1"/>
      <c r="E840" s="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51.75" customHeight="1">
      <c r="A841" s="1"/>
      <c r="B841" s="1"/>
      <c r="C841" s="2"/>
      <c r="D841" s="1"/>
      <c r="E841" s="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51.75" customHeight="1">
      <c r="A842" s="1"/>
      <c r="B842" s="1"/>
      <c r="C842" s="2"/>
      <c r="D842" s="1"/>
      <c r="E842" s="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51.75" customHeight="1">
      <c r="A843" s="1"/>
      <c r="B843" s="1"/>
      <c r="C843" s="2"/>
      <c r="D843" s="1"/>
      <c r="E843" s="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51.75" customHeight="1">
      <c r="A844" s="1"/>
      <c r="B844" s="1"/>
      <c r="C844" s="2"/>
      <c r="D844" s="1"/>
      <c r="E844" s="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51.75" customHeight="1">
      <c r="A845" s="1"/>
      <c r="B845" s="1"/>
      <c r="C845" s="2"/>
      <c r="D845" s="1"/>
      <c r="E845" s="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51.75" customHeight="1">
      <c r="A846" s="1"/>
      <c r="B846" s="1"/>
      <c r="C846" s="2"/>
      <c r="D846" s="1"/>
      <c r="E846" s="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51.75" customHeight="1">
      <c r="A847" s="1"/>
      <c r="B847" s="1"/>
      <c r="C847" s="2"/>
      <c r="D847" s="1"/>
      <c r="E847" s="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51.75" customHeight="1">
      <c r="A848" s="1"/>
      <c r="B848" s="1"/>
      <c r="C848" s="2"/>
      <c r="D848" s="1"/>
      <c r="E848" s="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51.75" customHeight="1">
      <c r="A849" s="1"/>
      <c r="B849" s="1"/>
      <c r="C849" s="2"/>
      <c r="D849" s="1"/>
      <c r="E849" s="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51.75" customHeight="1">
      <c r="A850" s="1"/>
      <c r="B850" s="1"/>
      <c r="C850" s="2"/>
      <c r="D850" s="1"/>
      <c r="E850" s="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51.75" customHeight="1">
      <c r="A851" s="1"/>
      <c r="B851" s="1"/>
      <c r="C851" s="2"/>
      <c r="D851" s="1"/>
      <c r="E851" s="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51.75" customHeight="1">
      <c r="A852" s="1"/>
      <c r="B852" s="1"/>
      <c r="C852" s="2"/>
      <c r="D852" s="1"/>
      <c r="E852" s="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51.75" customHeight="1">
      <c r="A853" s="1"/>
      <c r="B853" s="1"/>
      <c r="C853" s="2"/>
      <c r="D853" s="1"/>
      <c r="E853" s="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51.75" customHeight="1">
      <c r="A854" s="1"/>
      <c r="B854" s="1"/>
      <c r="C854" s="2"/>
      <c r="D854" s="1"/>
      <c r="E854" s="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51.75" customHeight="1">
      <c r="A855" s="1"/>
      <c r="B855" s="1"/>
      <c r="C855" s="2"/>
      <c r="D855" s="1"/>
      <c r="E855" s="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51.75" customHeight="1">
      <c r="A856" s="1"/>
      <c r="B856" s="1"/>
      <c r="C856" s="2"/>
      <c r="D856" s="1"/>
      <c r="E856" s="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51.75" customHeight="1">
      <c r="A857" s="1"/>
      <c r="B857" s="1"/>
      <c r="C857" s="2"/>
      <c r="D857" s="1"/>
      <c r="E857" s="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51.75" customHeight="1">
      <c r="A858" s="1"/>
      <c r="B858" s="1"/>
      <c r="C858" s="2"/>
      <c r="D858" s="1"/>
      <c r="E858" s="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51.75" customHeight="1">
      <c r="A859" s="1"/>
      <c r="B859" s="1"/>
      <c r="C859" s="2"/>
      <c r="D859" s="1"/>
      <c r="E859" s="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51.75" customHeight="1">
      <c r="A860" s="1"/>
      <c r="B860" s="1"/>
      <c r="C860" s="2"/>
      <c r="D860" s="1"/>
      <c r="E860" s="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51.75" customHeight="1">
      <c r="A861" s="1"/>
      <c r="B861" s="1"/>
      <c r="C861" s="2"/>
      <c r="D861" s="1"/>
      <c r="E861" s="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51.75" customHeight="1">
      <c r="A862" s="1"/>
      <c r="B862" s="1"/>
      <c r="C862" s="2"/>
      <c r="D862" s="1"/>
      <c r="E862" s="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51.75" customHeight="1">
      <c r="A863" s="1"/>
      <c r="B863" s="1"/>
      <c r="C863" s="2"/>
      <c r="D863" s="1"/>
      <c r="E863" s="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51.75" customHeight="1">
      <c r="A864" s="1"/>
      <c r="B864" s="1"/>
      <c r="C864" s="2"/>
      <c r="D864" s="1"/>
      <c r="E864" s="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51.75" customHeight="1">
      <c r="A865" s="1"/>
      <c r="B865" s="1"/>
      <c r="C865" s="2"/>
      <c r="D865" s="1"/>
      <c r="E865" s="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51.75" customHeight="1">
      <c r="A866" s="1"/>
      <c r="B866" s="1"/>
      <c r="C866" s="2"/>
      <c r="D866" s="1"/>
      <c r="E866" s="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51.75" customHeight="1">
      <c r="A867" s="1"/>
      <c r="B867" s="1"/>
      <c r="C867" s="2"/>
      <c r="D867" s="1"/>
      <c r="E867" s="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51.75" customHeight="1">
      <c r="A868" s="1"/>
      <c r="B868" s="1"/>
      <c r="C868" s="2"/>
      <c r="D868" s="1"/>
      <c r="E868" s="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51.75" customHeight="1">
      <c r="A869" s="1"/>
      <c r="B869" s="1"/>
      <c r="C869" s="2"/>
      <c r="D869" s="1"/>
      <c r="E869" s="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51.75" customHeight="1">
      <c r="A870" s="1"/>
      <c r="B870" s="1"/>
      <c r="C870" s="2"/>
      <c r="D870" s="1"/>
      <c r="E870" s="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51.75" customHeight="1">
      <c r="A871" s="1"/>
      <c r="B871" s="1"/>
      <c r="C871" s="2"/>
      <c r="D871" s="1"/>
      <c r="E871" s="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51.75" customHeight="1">
      <c r="A872" s="1"/>
      <c r="B872" s="1"/>
      <c r="C872" s="2"/>
      <c r="D872" s="1"/>
      <c r="E872" s="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51.75" customHeight="1">
      <c r="A873" s="1"/>
      <c r="B873" s="1"/>
      <c r="C873" s="2"/>
      <c r="D873" s="1"/>
      <c r="E873" s="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51.75" customHeight="1">
      <c r="A874" s="1"/>
      <c r="B874" s="1"/>
      <c r="C874" s="2"/>
      <c r="D874" s="1"/>
      <c r="E874" s="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51.75" customHeight="1">
      <c r="A875" s="1"/>
      <c r="B875" s="1"/>
      <c r="C875" s="2"/>
      <c r="D875" s="1"/>
      <c r="E875" s="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51.75" customHeight="1">
      <c r="A876" s="1"/>
      <c r="B876" s="1"/>
      <c r="C876" s="2"/>
      <c r="D876" s="1"/>
      <c r="E876" s="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51.75" customHeight="1">
      <c r="A877" s="1"/>
      <c r="B877" s="1"/>
      <c r="C877" s="2"/>
      <c r="D877" s="1"/>
      <c r="E877" s="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51.75" customHeight="1">
      <c r="A878" s="1"/>
      <c r="B878" s="1"/>
      <c r="C878" s="2"/>
      <c r="D878" s="1"/>
      <c r="E878" s="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51.75" customHeight="1">
      <c r="A879" s="1"/>
      <c r="B879" s="1"/>
      <c r="C879" s="2"/>
      <c r="D879" s="1"/>
      <c r="E879" s="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51.75" customHeight="1">
      <c r="A880" s="1"/>
      <c r="B880" s="1"/>
      <c r="C880" s="2"/>
      <c r="D880" s="1"/>
      <c r="E880" s="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51.75" customHeight="1">
      <c r="A881" s="1"/>
      <c r="B881" s="1"/>
      <c r="C881" s="2"/>
      <c r="D881" s="1"/>
      <c r="E881" s="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51.75" customHeight="1">
      <c r="A882" s="1"/>
      <c r="B882" s="1"/>
      <c r="C882" s="2"/>
      <c r="D882" s="1"/>
      <c r="E882" s="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51.75" customHeight="1">
      <c r="A883" s="1"/>
      <c r="B883" s="1"/>
      <c r="C883" s="2"/>
      <c r="D883" s="1"/>
      <c r="E883" s="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51.75" customHeight="1">
      <c r="A884" s="1"/>
      <c r="B884" s="1"/>
      <c r="C884" s="2"/>
      <c r="D884" s="1"/>
      <c r="E884" s="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51.75" customHeight="1">
      <c r="A885" s="1"/>
      <c r="B885" s="1"/>
      <c r="C885" s="2"/>
      <c r="D885" s="1"/>
      <c r="E885" s="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51.75" customHeight="1">
      <c r="A886" s="1"/>
      <c r="B886" s="1"/>
      <c r="C886" s="2"/>
      <c r="D886" s="1"/>
      <c r="E886" s="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51.75" customHeight="1">
      <c r="A887" s="1"/>
      <c r="B887" s="1"/>
      <c r="C887" s="2"/>
      <c r="D887" s="1"/>
      <c r="E887" s="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51.75" customHeight="1">
      <c r="A888" s="1"/>
      <c r="B888" s="1"/>
      <c r="C888" s="2"/>
      <c r="D888" s="1"/>
      <c r="E888" s="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51.75" customHeight="1">
      <c r="A889" s="1"/>
      <c r="B889" s="1"/>
      <c r="C889" s="2"/>
      <c r="D889" s="1"/>
      <c r="E889" s="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51.75" customHeight="1">
      <c r="A890" s="1"/>
      <c r="B890" s="1"/>
      <c r="C890" s="2"/>
      <c r="D890" s="1"/>
      <c r="E890" s="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51.75" customHeight="1">
      <c r="A891" s="1"/>
      <c r="B891" s="1"/>
      <c r="C891" s="2"/>
      <c r="D891" s="1"/>
      <c r="E891" s="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51.75" customHeight="1">
      <c r="A892" s="1"/>
      <c r="B892" s="1"/>
      <c r="C892" s="2"/>
      <c r="D892" s="1"/>
      <c r="E892" s="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51.75" customHeight="1">
      <c r="A893" s="1"/>
      <c r="B893" s="1"/>
      <c r="C893" s="2"/>
      <c r="D893" s="1"/>
      <c r="E893" s="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51.75" customHeight="1">
      <c r="A894" s="1"/>
      <c r="B894" s="1"/>
      <c r="C894" s="2"/>
      <c r="D894" s="1"/>
      <c r="E894" s="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51.75" customHeight="1">
      <c r="A895" s="1"/>
      <c r="B895" s="1"/>
      <c r="C895" s="2"/>
      <c r="D895" s="1"/>
      <c r="E895" s="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51.75" customHeight="1">
      <c r="A896" s="1"/>
      <c r="B896" s="1"/>
      <c r="C896" s="2"/>
      <c r="D896" s="1"/>
      <c r="E896" s="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51.75" customHeight="1">
      <c r="A897" s="1"/>
      <c r="B897" s="1"/>
      <c r="C897" s="2"/>
      <c r="D897" s="1"/>
      <c r="E897" s="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51.75" customHeight="1">
      <c r="A898" s="1"/>
      <c r="B898" s="1"/>
      <c r="C898" s="2"/>
      <c r="D898" s="1"/>
      <c r="E898" s="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51.75" customHeight="1">
      <c r="A899" s="1"/>
      <c r="B899" s="1"/>
      <c r="C899" s="2"/>
      <c r="D899" s="1"/>
      <c r="E899" s="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51.75" customHeight="1">
      <c r="A900" s="1"/>
      <c r="B900" s="1"/>
      <c r="C900" s="2"/>
      <c r="D900" s="1"/>
      <c r="E900" s="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51.75" customHeight="1">
      <c r="A901" s="1"/>
      <c r="B901" s="1"/>
      <c r="C901" s="2"/>
      <c r="D901" s="1"/>
      <c r="E901" s="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51.75" customHeight="1">
      <c r="A902" s="1"/>
      <c r="B902" s="1"/>
      <c r="C902" s="2"/>
      <c r="D902" s="1"/>
      <c r="E902" s="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51.75" customHeight="1">
      <c r="A903" s="1"/>
      <c r="B903" s="1"/>
      <c r="C903" s="2"/>
      <c r="D903" s="1"/>
      <c r="E903" s="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51.75" customHeight="1">
      <c r="A904" s="1"/>
      <c r="B904" s="1"/>
      <c r="C904" s="2"/>
      <c r="D904" s="1"/>
      <c r="E904" s="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51.75" customHeight="1">
      <c r="A905" s="1"/>
      <c r="B905" s="1"/>
      <c r="C905" s="2"/>
      <c r="D905" s="1"/>
      <c r="E905" s="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51.75" customHeight="1">
      <c r="A906" s="1"/>
      <c r="B906" s="1"/>
      <c r="C906" s="2"/>
      <c r="D906" s="1"/>
      <c r="E906" s="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51.75" customHeight="1">
      <c r="A907" s="1"/>
      <c r="B907" s="1"/>
      <c r="C907" s="2"/>
      <c r="D907" s="1"/>
      <c r="E907" s="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51.75" customHeight="1">
      <c r="A908" s="1"/>
      <c r="B908" s="1"/>
      <c r="C908" s="2"/>
      <c r="D908" s="1"/>
      <c r="E908" s="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51.75" customHeight="1">
      <c r="A909" s="1"/>
      <c r="B909" s="1"/>
      <c r="C909" s="2"/>
      <c r="D909" s="1"/>
      <c r="E909" s="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51.75" customHeight="1">
      <c r="A910" s="1"/>
      <c r="B910" s="1"/>
      <c r="C910" s="2"/>
      <c r="D910" s="1"/>
      <c r="E910" s="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51.75" customHeight="1">
      <c r="A911" s="1"/>
      <c r="B911" s="1"/>
      <c r="C911" s="2"/>
      <c r="D911" s="1"/>
      <c r="E911" s="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51.75" customHeight="1">
      <c r="A912" s="1"/>
      <c r="B912" s="1"/>
      <c r="C912" s="2"/>
      <c r="D912" s="1"/>
      <c r="E912" s="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51.75" customHeight="1">
      <c r="A913" s="1"/>
      <c r="B913" s="1"/>
      <c r="C913" s="2"/>
      <c r="D913" s="1"/>
      <c r="E913" s="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51.75" customHeight="1">
      <c r="A914" s="1"/>
      <c r="B914" s="1"/>
      <c r="C914" s="2"/>
      <c r="D914" s="1"/>
      <c r="E914" s="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51.75" customHeight="1">
      <c r="A915" s="1"/>
      <c r="B915" s="1"/>
      <c r="C915" s="2"/>
      <c r="D915" s="1"/>
      <c r="E915" s="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51.75" customHeight="1">
      <c r="A916" s="1"/>
      <c r="B916" s="1"/>
      <c r="C916" s="2"/>
      <c r="D916" s="1"/>
      <c r="E916" s="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51.75" customHeight="1">
      <c r="A917" s="1"/>
      <c r="B917" s="1"/>
      <c r="C917" s="2"/>
      <c r="D917" s="1"/>
      <c r="E917" s="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51.75" customHeight="1">
      <c r="A918" s="1"/>
      <c r="B918" s="1"/>
      <c r="C918" s="2"/>
      <c r="D918" s="1"/>
      <c r="E918" s="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51.75" customHeight="1">
      <c r="A919" s="1"/>
      <c r="B919" s="1"/>
      <c r="C919" s="2"/>
      <c r="D919" s="1"/>
      <c r="E919" s="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51.75" customHeight="1">
      <c r="A920" s="1"/>
      <c r="B920" s="1"/>
      <c r="C920" s="2"/>
      <c r="D920" s="1"/>
      <c r="E920" s="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51.75" customHeight="1">
      <c r="A921" s="1"/>
      <c r="B921" s="1"/>
      <c r="C921" s="2"/>
      <c r="D921" s="1"/>
      <c r="E921" s="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51.75" customHeight="1">
      <c r="A922" s="1"/>
      <c r="B922" s="1"/>
      <c r="C922" s="2"/>
      <c r="D922" s="1"/>
      <c r="E922" s="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51.75" customHeight="1">
      <c r="A923" s="1"/>
      <c r="B923" s="1"/>
      <c r="C923" s="2"/>
      <c r="D923" s="1"/>
      <c r="E923" s="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51.75" customHeight="1">
      <c r="A924" s="1"/>
      <c r="B924" s="1"/>
      <c r="C924" s="2"/>
      <c r="D924" s="1"/>
      <c r="E924" s="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51.75" customHeight="1">
      <c r="A925" s="1"/>
      <c r="B925" s="1"/>
      <c r="C925" s="2"/>
      <c r="D925" s="1"/>
      <c r="E925" s="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51.75" customHeight="1">
      <c r="A926" s="1"/>
      <c r="B926" s="1"/>
      <c r="C926" s="2"/>
      <c r="D926" s="1"/>
      <c r="E926" s="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51.75" customHeight="1">
      <c r="A927" s="1"/>
      <c r="B927" s="1"/>
      <c r="C927" s="2"/>
      <c r="D927" s="1"/>
      <c r="E927" s="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51.75" customHeight="1">
      <c r="A928" s="1"/>
      <c r="B928" s="1"/>
      <c r="C928" s="2"/>
      <c r="D928" s="1"/>
      <c r="E928" s="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51.75" customHeight="1">
      <c r="A929" s="1"/>
      <c r="B929" s="1"/>
      <c r="C929" s="2"/>
      <c r="D929" s="1"/>
      <c r="E929" s="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51.75" customHeight="1">
      <c r="A930" s="1"/>
      <c r="B930" s="1"/>
      <c r="C930" s="2"/>
      <c r="D930" s="1"/>
      <c r="E930" s="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51.75" customHeight="1">
      <c r="A931" s="1"/>
      <c r="B931" s="1"/>
      <c r="C931" s="2"/>
      <c r="D931" s="1"/>
      <c r="E931" s="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51.75" customHeight="1">
      <c r="A932" s="1"/>
      <c r="B932" s="1"/>
      <c r="C932" s="2"/>
      <c r="D932" s="1"/>
      <c r="E932" s="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51.75" customHeight="1">
      <c r="A933" s="1"/>
      <c r="B933" s="1"/>
      <c r="C933" s="2"/>
      <c r="D933" s="1"/>
      <c r="E933" s="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51.75" customHeight="1">
      <c r="A934" s="1"/>
      <c r="B934" s="1"/>
      <c r="C934" s="2"/>
      <c r="D934" s="1"/>
      <c r="E934" s="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51.75" customHeight="1">
      <c r="A935" s="1"/>
      <c r="B935" s="1"/>
      <c r="C935" s="2"/>
      <c r="D935" s="1"/>
      <c r="E935" s="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51.75" customHeight="1">
      <c r="A936" s="1"/>
      <c r="B936" s="1"/>
      <c r="C936" s="2"/>
      <c r="D936" s="1"/>
      <c r="E936" s="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51.75" customHeight="1">
      <c r="A937" s="1"/>
      <c r="B937" s="1"/>
      <c r="C937" s="2"/>
      <c r="D937" s="1"/>
      <c r="E937" s="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51.75" customHeight="1">
      <c r="A938" s="1"/>
      <c r="B938" s="1"/>
      <c r="C938" s="2"/>
      <c r="D938" s="1"/>
      <c r="E938" s="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51.75" customHeight="1">
      <c r="A939" s="1"/>
      <c r="B939" s="1"/>
      <c r="C939" s="2"/>
      <c r="D939" s="1"/>
      <c r="E939" s="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51.75" customHeight="1">
      <c r="A940" s="1"/>
      <c r="B940" s="1"/>
      <c r="C940" s="2"/>
      <c r="D940" s="1"/>
      <c r="E940" s="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51.75" customHeight="1">
      <c r="A941" s="1"/>
      <c r="B941" s="1"/>
      <c r="C941" s="2"/>
      <c r="D941" s="1"/>
      <c r="E941" s="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51.75" customHeight="1">
      <c r="A942" s="1"/>
      <c r="B942" s="1"/>
      <c r="C942" s="2"/>
      <c r="D942" s="1"/>
      <c r="E942" s="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51.75" customHeight="1">
      <c r="A943" s="1"/>
      <c r="B943" s="1"/>
      <c r="C943" s="2"/>
      <c r="D943" s="1"/>
      <c r="E943" s="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51.75" customHeight="1">
      <c r="A944" s="1"/>
      <c r="B944" s="1"/>
      <c r="C944" s="2"/>
      <c r="D944" s="1"/>
      <c r="E944" s="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51.75" customHeight="1">
      <c r="A945" s="1"/>
      <c r="B945" s="1"/>
      <c r="C945" s="2"/>
      <c r="D945" s="1"/>
      <c r="E945" s="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51.75" customHeight="1">
      <c r="A946" s="1"/>
      <c r="B946" s="1"/>
      <c r="C946" s="2"/>
      <c r="D946" s="1"/>
      <c r="E946" s="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51.75" customHeight="1">
      <c r="A947" s="1"/>
      <c r="B947" s="1"/>
      <c r="C947" s="2"/>
      <c r="D947" s="1"/>
      <c r="E947" s="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51.75" customHeight="1">
      <c r="A948" s="1"/>
      <c r="B948" s="1"/>
      <c r="C948" s="2"/>
      <c r="D948" s="1"/>
      <c r="E948" s="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51.75" customHeight="1">
      <c r="A949" s="1"/>
      <c r="B949" s="1"/>
      <c r="C949" s="2"/>
      <c r="D949" s="1"/>
      <c r="E949" s="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51.75" customHeight="1">
      <c r="A950" s="1"/>
      <c r="B950" s="1"/>
      <c r="C950" s="2"/>
      <c r="D950" s="1"/>
      <c r="E950" s="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51.75" customHeight="1">
      <c r="A951" s="1"/>
      <c r="B951" s="1"/>
      <c r="C951" s="2"/>
      <c r="D951" s="1"/>
      <c r="E951" s="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51.75" customHeight="1">
      <c r="A952" s="1"/>
      <c r="B952" s="1"/>
      <c r="C952" s="2"/>
      <c r="D952" s="1"/>
      <c r="E952" s="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51.75" customHeight="1">
      <c r="A953" s="1"/>
      <c r="B953" s="1"/>
      <c r="C953" s="2"/>
      <c r="D953" s="1"/>
      <c r="E953" s="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51.75" customHeight="1">
      <c r="A954" s="1"/>
      <c r="B954" s="1"/>
      <c r="C954" s="2"/>
      <c r="D954" s="1"/>
      <c r="E954" s="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51.75" customHeight="1">
      <c r="A955" s="1"/>
      <c r="B955" s="1"/>
      <c r="C955" s="2"/>
      <c r="D955" s="1"/>
      <c r="E955" s="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51.75" customHeight="1">
      <c r="A956" s="1"/>
      <c r="B956" s="1"/>
      <c r="C956" s="2"/>
      <c r="D956" s="1"/>
      <c r="E956" s="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51.75" customHeight="1">
      <c r="A957" s="1"/>
      <c r="B957" s="1"/>
      <c r="C957" s="2"/>
      <c r="D957" s="1"/>
      <c r="E957" s="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51.75" customHeight="1">
      <c r="A958" s="1"/>
      <c r="B958" s="1"/>
      <c r="C958" s="2"/>
      <c r="D958" s="1"/>
      <c r="E958" s="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51.75" customHeight="1">
      <c r="A959" s="1"/>
      <c r="B959" s="1"/>
      <c r="C959" s="2"/>
      <c r="D959" s="1"/>
      <c r="E959" s="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51.75" customHeight="1">
      <c r="A960" s="1"/>
      <c r="B960" s="1"/>
      <c r="C960" s="2"/>
      <c r="D960" s="1"/>
      <c r="E960" s="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51.75" customHeight="1">
      <c r="A961" s="1"/>
      <c r="B961" s="1"/>
      <c r="C961" s="2"/>
      <c r="D961" s="1"/>
      <c r="E961" s="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51.75" customHeight="1">
      <c r="A962" s="1"/>
      <c r="B962" s="1"/>
      <c r="C962" s="2"/>
      <c r="D962" s="1"/>
      <c r="E962" s="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51.75" customHeight="1">
      <c r="A963" s="1"/>
      <c r="B963" s="1"/>
      <c r="C963" s="2"/>
      <c r="D963" s="1"/>
      <c r="E963" s="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51.75" customHeight="1">
      <c r="A964" s="1"/>
      <c r="B964" s="1"/>
      <c r="C964" s="2"/>
      <c r="D964" s="1"/>
      <c r="E964" s="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51.75" customHeight="1">
      <c r="A965" s="1"/>
      <c r="B965" s="1"/>
      <c r="C965" s="2"/>
      <c r="D965" s="1"/>
      <c r="E965" s="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51.75" customHeight="1">
      <c r="A966" s="1"/>
      <c r="B966" s="1"/>
      <c r="C966" s="2"/>
      <c r="D966" s="1"/>
      <c r="E966" s="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51.75" customHeight="1">
      <c r="A967" s="1"/>
      <c r="B967" s="1"/>
      <c r="C967" s="2"/>
      <c r="D967" s="1"/>
      <c r="E967" s="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51.75" customHeight="1">
      <c r="A968" s="1"/>
      <c r="B968" s="1"/>
      <c r="C968" s="2"/>
      <c r="D968" s="1"/>
      <c r="E968" s="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51.75" customHeight="1">
      <c r="A969" s="1"/>
      <c r="B969" s="1"/>
      <c r="C969" s="2"/>
      <c r="D969" s="1"/>
      <c r="E969" s="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51.75" customHeight="1">
      <c r="A970" s="1"/>
      <c r="B970" s="1"/>
      <c r="C970" s="2"/>
      <c r="D970" s="1"/>
      <c r="E970" s="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51.75" customHeight="1">
      <c r="A971" s="1"/>
      <c r="B971" s="1"/>
      <c r="C971" s="2"/>
      <c r="D971" s="1"/>
      <c r="E971" s="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51.75" customHeight="1">
      <c r="A972" s="1"/>
      <c r="B972" s="1"/>
      <c r="C972" s="2"/>
      <c r="D972" s="1"/>
      <c r="E972" s="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51.75" customHeight="1">
      <c r="A973" s="1"/>
      <c r="B973" s="1"/>
      <c r="C973" s="2"/>
      <c r="D973" s="1"/>
      <c r="E973" s="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51.75" customHeight="1">
      <c r="A974" s="1"/>
      <c r="B974" s="1"/>
      <c r="C974" s="2"/>
      <c r="D974" s="1"/>
      <c r="E974" s="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51.75" customHeight="1">
      <c r="A975" s="1"/>
      <c r="B975" s="1"/>
      <c r="C975" s="2"/>
      <c r="D975" s="1"/>
      <c r="E975" s="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51.75" customHeight="1">
      <c r="A976" s="1"/>
      <c r="B976" s="1"/>
      <c r="C976" s="2"/>
      <c r="D976" s="1"/>
      <c r="E976" s="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51.75" customHeight="1">
      <c r="A977" s="1"/>
      <c r="B977" s="1"/>
      <c r="C977" s="2"/>
      <c r="D977" s="1"/>
      <c r="E977" s="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51.75" customHeight="1">
      <c r="A978" s="1"/>
      <c r="B978" s="1"/>
      <c r="C978" s="2"/>
      <c r="D978" s="1"/>
      <c r="E978" s="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51.75" customHeight="1">
      <c r="A979" s="1"/>
      <c r="B979" s="1"/>
      <c r="C979" s="2"/>
      <c r="D979" s="1"/>
      <c r="E979" s="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51.75" customHeight="1">
      <c r="A980" s="1"/>
      <c r="B980" s="1"/>
      <c r="C980" s="2"/>
      <c r="D980" s="1"/>
      <c r="E980" s="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51.75" customHeight="1">
      <c r="A981" s="1"/>
      <c r="B981" s="1"/>
      <c r="C981" s="2"/>
      <c r="D981" s="1"/>
      <c r="E981" s="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51.75" customHeight="1">
      <c r="A982" s="1"/>
      <c r="B982" s="1"/>
      <c r="C982" s="2"/>
      <c r="D982" s="1"/>
      <c r="E982" s="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51.75" customHeight="1">
      <c r="A983" s="1"/>
      <c r="B983" s="1"/>
      <c r="C983" s="2"/>
      <c r="D983" s="1"/>
      <c r="E983" s="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51.75" customHeight="1">
      <c r="A984" s="1"/>
      <c r="B984" s="1"/>
      <c r="C984" s="2"/>
      <c r="D984" s="1"/>
      <c r="E984" s="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51.75" customHeight="1">
      <c r="A985" s="1"/>
      <c r="B985" s="1"/>
      <c r="C985" s="2"/>
      <c r="D985" s="1"/>
      <c r="E985" s="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51.75" customHeight="1">
      <c r="A986" s="1"/>
      <c r="B986" s="1"/>
      <c r="C986" s="2"/>
      <c r="D986" s="1"/>
      <c r="E986" s="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51.75" customHeight="1">
      <c r="A987" s="1"/>
      <c r="B987" s="1"/>
      <c r="C987" s="2"/>
      <c r="D987" s="1"/>
      <c r="E987" s="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51.75" customHeight="1">
      <c r="A988" s="1"/>
      <c r="B988" s="1"/>
      <c r="C988" s="2"/>
      <c r="D988" s="1"/>
      <c r="E988" s="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51.75" customHeight="1">
      <c r="A989" s="1"/>
      <c r="B989" s="1"/>
      <c r="C989" s="2"/>
      <c r="D989" s="1"/>
      <c r="E989" s="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51.75" customHeight="1">
      <c r="A990" s="1"/>
      <c r="B990" s="1"/>
      <c r="C990" s="2"/>
      <c r="D990" s="1"/>
      <c r="E990" s="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51.75" customHeight="1">
      <c r="A991" s="1"/>
      <c r="B991" s="1"/>
      <c r="C991" s="2"/>
      <c r="D991" s="1"/>
      <c r="E991" s="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51.75" customHeight="1">
      <c r="A992" s="1"/>
      <c r="B992" s="1"/>
      <c r="C992" s="2"/>
      <c r="D992" s="1"/>
      <c r="E992" s="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51.75" customHeight="1">
      <c r="A993" s="1"/>
      <c r="B993" s="1"/>
      <c r="C993" s="2"/>
      <c r="D993" s="1"/>
      <c r="E993" s="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51.75" customHeight="1">
      <c r="A994" s="1"/>
      <c r="B994" s="1"/>
      <c r="C994" s="2"/>
      <c r="D994" s="1"/>
      <c r="E994" s="6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51.75" customHeight="1">
      <c r="A995" s="1"/>
      <c r="B995" s="1"/>
      <c r="C995" s="2"/>
      <c r="D995" s="1"/>
      <c r="E995" s="6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51.75" customHeight="1">
      <c r="A996" s="1"/>
      <c r="B996" s="1"/>
      <c r="C996" s="2"/>
      <c r="D996" s="1"/>
      <c r="E996" s="6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51.75" customHeight="1">
      <c r="A997" s="1"/>
      <c r="B997" s="1"/>
      <c r="C997" s="2"/>
      <c r="D997" s="1"/>
      <c r="E997" s="6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51.75" customHeight="1">
      <c r="A998" s="1"/>
      <c r="B998" s="1"/>
      <c r="C998" s="2"/>
      <c r="D998" s="1"/>
      <c r="E998" s="6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51.75" customHeight="1">
      <c r="A999" s="1"/>
      <c r="B999" s="1"/>
      <c r="C999" s="2"/>
      <c r="D999" s="1"/>
      <c r="E999" s="6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51.75" customHeight="1">
      <c r="A1000" s="1"/>
      <c r="B1000" s="1"/>
      <c r="C1000" s="2"/>
      <c r="D1000" s="1"/>
      <c r="E1000" s="6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4:B15"/>
    <mergeCell ref="C14:C15"/>
    <mergeCell ref="D14:D15"/>
    <mergeCell ref="E14:E15"/>
    <mergeCell ref="B21:D21"/>
  </mergeCells>
  <conditionalFormatting sqref="C6:C7">
    <cfRule type="containsBlanks" dxfId="0" priority="1">
      <formula>LEN(TRIM(C6))=0</formula>
    </cfRule>
  </conditionalFormatting>
  <conditionalFormatting sqref="C9:C12">
    <cfRule type="containsBlanks" dxfId="0" priority="2">
      <formula>LEN(TRIM(C9))=0</formula>
    </cfRule>
  </conditionalFormatting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3.88"/>
    <col customWidth="1" min="3" max="4" width="8.63"/>
    <col customWidth="1" min="5" max="5" width="15.5"/>
    <col customWidth="1" min="6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29.75" customHeight="1">
      <c r="B6" s="142" t="s">
        <v>65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8.63"/>
    <col customWidth="1" min="7" max="7" width="16.5"/>
    <col customWidth="1" min="8" max="8" width="15.88"/>
    <col customWidth="1" min="9" max="9" width="38.63"/>
    <col customWidth="1" min="10" max="10" width="27.5"/>
    <col customWidth="1" min="11" max="11" width="28.0"/>
    <col customWidth="1" min="12" max="12" width="21.88"/>
    <col customWidth="1" min="13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G6" s="144"/>
      <c r="H6" s="146" t="s">
        <v>157</v>
      </c>
      <c r="I6" s="147" t="s">
        <v>140</v>
      </c>
      <c r="J6" s="147" t="s">
        <v>158</v>
      </c>
      <c r="K6" s="144"/>
      <c r="L6" s="144"/>
      <c r="M6" s="144"/>
    </row>
    <row r="7" ht="14.25" customHeight="1">
      <c r="G7" s="147" t="s">
        <v>28</v>
      </c>
      <c r="H7" s="150" t="s">
        <v>159</v>
      </c>
      <c r="I7" s="150" t="s">
        <v>160</v>
      </c>
      <c r="J7" s="151" t="s">
        <v>161</v>
      </c>
      <c r="K7" s="144"/>
      <c r="L7" s="144"/>
      <c r="M7" s="144"/>
    </row>
    <row r="8" ht="14.25" customHeight="1">
      <c r="G8" s="152" t="s">
        <v>53</v>
      </c>
      <c r="H8" s="155">
        <f>'Phase 1 - Aug - Sept (Launch)'!Y30</f>
        <v>270363</v>
      </c>
      <c r="I8" s="155">
        <f>'Song and Mascot Promotion'!Z22</f>
        <v>85000</v>
      </c>
      <c r="J8" s="155">
        <f>'Phase 2 - Sep - Oct'!Y29</f>
        <v>192000</v>
      </c>
      <c r="K8" s="157">
        <f t="shared" ref="K8:K14" si="1">SUM(H8:J8)</f>
        <v>547363</v>
      </c>
      <c r="L8" s="159">
        <f t="shared" ref="L8:L11" si="2">K8/$K$12</f>
        <v>0.7462721364</v>
      </c>
      <c r="M8" s="144"/>
    </row>
    <row r="9" ht="14.25" customHeight="1">
      <c r="G9" s="152" t="s">
        <v>99</v>
      </c>
      <c r="H9" s="155">
        <f>'Phase 1 - Aug - Sept (Launch)'!Y37</f>
        <v>55000</v>
      </c>
      <c r="I9" s="155">
        <f>'Song and Mascot Promotion'!Z29</f>
        <v>39000</v>
      </c>
      <c r="J9" s="155">
        <f>'Phase 2 - Sep - Oct'!Y36</f>
        <v>28000</v>
      </c>
      <c r="K9" s="157">
        <f t="shared" si="1"/>
        <v>122000</v>
      </c>
      <c r="L9" s="159">
        <f t="shared" si="2"/>
        <v>0.1663342254</v>
      </c>
      <c r="M9" s="144"/>
    </row>
    <row r="10" ht="14.25" customHeight="1">
      <c r="G10" s="152" t="s">
        <v>131</v>
      </c>
      <c r="H10" s="155">
        <f>'Phase 1 - Aug - Sept (Launch)'!Y43</f>
        <v>17000</v>
      </c>
      <c r="I10" s="155">
        <f>'Song and Mascot Promotion'!Z33</f>
        <v>4000</v>
      </c>
      <c r="J10" s="155">
        <f>'Phase 2 - Sep - Oct'!Y43</f>
        <v>17500</v>
      </c>
      <c r="K10" s="157">
        <f t="shared" si="1"/>
        <v>38500</v>
      </c>
      <c r="L10" s="159">
        <f t="shared" si="2"/>
        <v>0.05249071869</v>
      </c>
      <c r="M10" s="144"/>
    </row>
    <row r="11" ht="14.25" customHeight="1">
      <c r="G11" s="152" t="s">
        <v>135</v>
      </c>
      <c r="H11" s="155">
        <f>'Phase 1 - Aug - Sept (Launch)'!Y49</f>
        <v>15600</v>
      </c>
      <c r="I11" s="155" t="s">
        <v>20</v>
      </c>
      <c r="J11" s="155">
        <f>'Phase 2 - Sep - Oct'!Y49</f>
        <v>10000</v>
      </c>
      <c r="K11" s="157">
        <f t="shared" si="1"/>
        <v>25600</v>
      </c>
      <c r="L11" s="159">
        <f t="shared" si="2"/>
        <v>0.03490291944</v>
      </c>
      <c r="M11" s="144"/>
    </row>
    <row r="12" ht="14.25" customHeight="1">
      <c r="G12" s="147" t="s">
        <v>163</v>
      </c>
      <c r="H12" s="164">
        <f t="shared" ref="H12:J12" si="3">SUM(H8:H11)</f>
        <v>357963</v>
      </c>
      <c r="I12" s="164">
        <f t="shared" si="3"/>
        <v>128000</v>
      </c>
      <c r="J12" s="164">
        <f t="shared" si="3"/>
        <v>247500</v>
      </c>
      <c r="K12" s="164">
        <f t="shared" si="1"/>
        <v>733463</v>
      </c>
      <c r="L12" s="165">
        <f>SUM(L8:L11)</f>
        <v>1</v>
      </c>
      <c r="M12" s="144"/>
    </row>
    <row r="13" ht="14.25" customHeight="1">
      <c r="G13" s="144"/>
      <c r="H13" s="166">
        <f t="shared" ref="H13:J13" si="4">H12*3.76</f>
        <v>1345940.88</v>
      </c>
      <c r="I13" s="166">
        <f t="shared" si="4"/>
        <v>481280</v>
      </c>
      <c r="J13" s="166">
        <f t="shared" si="4"/>
        <v>930600</v>
      </c>
      <c r="K13" s="166">
        <f t="shared" si="1"/>
        <v>2757820.88</v>
      </c>
      <c r="L13" s="144"/>
      <c r="M13" s="144"/>
    </row>
    <row r="14" ht="14.25" customHeight="1">
      <c r="G14" s="144"/>
      <c r="H14" s="167">
        <f t="shared" ref="H14:J14" si="5">H13/$K$13</f>
        <v>0.4880450684</v>
      </c>
      <c r="I14" s="168">
        <f t="shared" si="5"/>
        <v>0.1745145972</v>
      </c>
      <c r="J14" s="169">
        <f t="shared" si="5"/>
        <v>0.3374403344</v>
      </c>
      <c r="K14" s="159">
        <f t="shared" si="1"/>
        <v>1</v>
      </c>
      <c r="L14" s="144"/>
      <c r="M14" s="144"/>
    </row>
    <row r="15" ht="14.25" customHeight="1">
      <c r="G15" s="144"/>
      <c r="H15" s="144"/>
      <c r="I15" s="144"/>
      <c r="J15" s="144"/>
      <c r="K15" s="144"/>
      <c r="L15" s="144"/>
      <c r="M15" s="14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8.63"/>
    <col customWidth="1" min="7" max="7" width="22.63"/>
    <col customWidth="1" min="8" max="8" width="14.25"/>
    <col customWidth="1" min="9" max="9" width="15.5"/>
    <col customWidth="1" min="10" max="10" width="15.13"/>
    <col customWidth="1" min="11" max="11" width="16.5"/>
    <col customWidth="1" min="12" max="12" width="13.88"/>
    <col customWidth="1" min="13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G8" s="143" t="s">
        <v>26</v>
      </c>
      <c r="H8" s="143" t="s">
        <v>28</v>
      </c>
      <c r="I8" s="143" t="s">
        <v>152</v>
      </c>
      <c r="J8" s="143" t="s">
        <v>153</v>
      </c>
      <c r="K8" s="143" t="s">
        <v>155</v>
      </c>
      <c r="L8" s="143" t="s">
        <v>156</v>
      </c>
    </row>
    <row r="9" ht="14.25" customHeight="1"/>
    <row r="10" ht="14.25" customHeight="1">
      <c r="G10" s="145" t="s">
        <v>50</v>
      </c>
      <c r="H10" s="149" t="s">
        <v>53</v>
      </c>
      <c r="I10" s="153">
        <f>'Campaign Phasing'!H8*3.76</f>
        <v>1016564.88</v>
      </c>
      <c r="J10" s="154">
        <f t="shared" ref="J10:J13" si="1">I10/$I$14</f>
        <v>0.7552819705</v>
      </c>
      <c r="K10" s="154">
        <f t="shared" ref="K10:K14" si="2">I10/$I$28</f>
        <v>0.3686116409</v>
      </c>
      <c r="L10" s="156">
        <f t="shared" ref="L10:L13" si="3">I10/3.76</f>
        <v>270363</v>
      </c>
    </row>
    <row r="11" ht="14.25" customHeight="1">
      <c r="G11" s="76"/>
      <c r="H11" s="149" t="s">
        <v>99</v>
      </c>
      <c r="I11" s="153">
        <f>'Campaign Phasing'!H9*3.76</f>
        <v>206800</v>
      </c>
      <c r="J11" s="154">
        <f t="shared" si="1"/>
        <v>0.1536471647</v>
      </c>
      <c r="K11" s="154">
        <f t="shared" si="2"/>
        <v>0.07498674098</v>
      </c>
      <c r="L11" s="156">
        <f t="shared" si="3"/>
        <v>55000</v>
      </c>
    </row>
    <row r="12" ht="14.25" customHeight="1">
      <c r="G12" s="76"/>
      <c r="H12" s="149" t="s">
        <v>131</v>
      </c>
      <c r="I12" s="153">
        <f>'Campaign Phasing'!H10*3.76</f>
        <v>63920</v>
      </c>
      <c r="J12" s="154">
        <f t="shared" si="1"/>
        <v>0.0474909418</v>
      </c>
      <c r="K12" s="154">
        <f t="shared" si="2"/>
        <v>0.02317771994</v>
      </c>
      <c r="L12" s="156">
        <f t="shared" si="3"/>
        <v>17000</v>
      </c>
    </row>
    <row r="13" ht="14.25" customHeight="1">
      <c r="G13" s="56"/>
      <c r="H13" s="149" t="s">
        <v>135</v>
      </c>
      <c r="I13" s="153">
        <f>'Campaign Phasing'!H11*3.76</f>
        <v>58656</v>
      </c>
      <c r="J13" s="154">
        <f t="shared" si="1"/>
        <v>0.04357992306</v>
      </c>
      <c r="K13" s="154">
        <f t="shared" si="2"/>
        <v>0.02126896653</v>
      </c>
      <c r="L13" s="156">
        <f t="shared" si="3"/>
        <v>15600</v>
      </c>
    </row>
    <row r="14" ht="14.25" customHeight="1">
      <c r="G14" s="160" t="s">
        <v>50</v>
      </c>
      <c r="H14" s="68"/>
      <c r="I14" s="161">
        <f t="shared" ref="I14:J14" si="4">SUM(I10:I13)</f>
        <v>1345940.88</v>
      </c>
      <c r="J14" s="162">
        <f t="shared" si="4"/>
        <v>1</v>
      </c>
      <c r="K14" s="162">
        <f t="shared" si="2"/>
        <v>0.4880450684</v>
      </c>
      <c r="L14" s="163">
        <f>SUM(L10:L13)</f>
        <v>357963</v>
      </c>
    </row>
    <row r="15" ht="14.25" customHeight="1"/>
    <row r="16" ht="14.25" customHeight="1">
      <c r="G16" s="145" t="s">
        <v>140</v>
      </c>
      <c r="H16" s="149" t="s">
        <v>53</v>
      </c>
      <c r="I16" s="153">
        <f>'Campaign Phasing'!I8*3.76</f>
        <v>319600</v>
      </c>
      <c r="J16" s="154">
        <f t="shared" ref="J16:J18" si="5">I16/$I$19</f>
        <v>0.6640625</v>
      </c>
      <c r="K16" s="154">
        <f t="shared" ref="K16:K19" si="6">I16/$I$28</f>
        <v>0.1158885997</v>
      </c>
      <c r="L16" s="156">
        <f t="shared" ref="L16:L18" si="7">I16/3.76</f>
        <v>85000</v>
      </c>
    </row>
    <row r="17" ht="14.25" customHeight="1">
      <c r="G17" s="76"/>
      <c r="H17" s="149" t="s">
        <v>99</v>
      </c>
      <c r="I17" s="153">
        <f>'Campaign Phasing'!I9*3.76</f>
        <v>146640</v>
      </c>
      <c r="J17" s="154">
        <f t="shared" si="5"/>
        <v>0.3046875</v>
      </c>
      <c r="K17" s="154">
        <f t="shared" si="6"/>
        <v>0.05317241633</v>
      </c>
      <c r="L17" s="156">
        <f t="shared" si="7"/>
        <v>39000</v>
      </c>
    </row>
    <row r="18" ht="14.25" customHeight="1">
      <c r="G18" s="76"/>
      <c r="H18" s="149" t="s">
        <v>131</v>
      </c>
      <c r="I18" s="153">
        <f>'Campaign Phasing'!I10*3.76</f>
        <v>15040</v>
      </c>
      <c r="J18" s="154">
        <f t="shared" si="5"/>
        <v>0.03125</v>
      </c>
      <c r="K18" s="154">
        <f t="shared" si="6"/>
        <v>0.005453581162</v>
      </c>
      <c r="L18" s="156">
        <f t="shared" si="7"/>
        <v>4000</v>
      </c>
    </row>
    <row r="19" ht="14.25" customHeight="1">
      <c r="G19" s="160" t="s">
        <v>140</v>
      </c>
      <c r="H19" s="68"/>
      <c r="I19" s="161">
        <f t="shared" ref="I19:J19" si="8">SUM(I16:I18)</f>
        <v>481280</v>
      </c>
      <c r="J19" s="162">
        <f t="shared" si="8"/>
        <v>1</v>
      </c>
      <c r="K19" s="162">
        <f t="shared" si="6"/>
        <v>0.1745145972</v>
      </c>
      <c r="L19" s="163">
        <f>SUM(L16:L18)</f>
        <v>128000</v>
      </c>
    </row>
    <row r="20" ht="14.25" customHeight="1"/>
    <row r="21" ht="14.25" customHeight="1">
      <c r="G21" s="145" t="s">
        <v>143</v>
      </c>
      <c r="H21" s="149" t="s">
        <v>53</v>
      </c>
      <c r="I21" s="153">
        <f>'Campaign Phasing'!J8*3.76</f>
        <v>721920</v>
      </c>
      <c r="J21" s="154">
        <f t="shared" ref="J21:J24" si="9">I21/$I$25</f>
        <v>0.7757575758</v>
      </c>
      <c r="K21" s="154">
        <f t="shared" ref="K21:K25" si="10">I21/$I$28</f>
        <v>0.2617718958</v>
      </c>
      <c r="L21" s="156">
        <f t="shared" ref="L21:L24" si="11">I21/3.76</f>
        <v>192000</v>
      </c>
    </row>
    <row r="22" ht="14.25" customHeight="1">
      <c r="G22" s="76"/>
      <c r="H22" s="149" t="s">
        <v>99</v>
      </c>
      <c r="I22" s="153">
        <f>'Campaign Phasing'!J9*3.76</f>
        <v>105280</v>
      </c>
      <c r="J22" s="154">
        <f t="shared" si="9"/>
        <v>0.1131313131</v>
      </c>
      <c r="K22" s="154">
        <f t="shared" si="10"/>
        <v>0.03817506814</v>
      </c>
      <c r="L22" s="156">
        <f t="shared" si="11"/>
        <v>28000</v>
      </c>
    </row>
    <row r="23" ht="14.25" customHeight="1">
      <c r="G23" s="76"/>
      <c r="H23" s="149" t="s">
        <v>131</v>
      </c>
      <c r="I23" s="153">
        <f>'Campaign Phasing'!J10*3.76</f>
        <v>65800</v>
      </c>
      <c r="J23" s="154">
        <f t="shared" si="9"/>
        <v>0.07070707071</v>
      </c>
      <c r="K23" s="154">
        <f t="shared" si="10"/>
        <v>0.02385941758</v>
      </c>
      <c r="L23" s="156">
        <f t="shared" si="11"/>
        <v>17500</v>
      </c>
    </row>
    <row r="24" ht="14.25" customHeight="1">
      <c r="G24" s="56"/>
      <c r="H24" s="149" t="s">
        <v>135</v>
      </c>
      <c r="I24" s="153">
        <f>'Campaign Phasing'!J11*3.76</f>
        <v>37600</v>
      </c>
      <c r="J24" s="154">
        <f t="shared" si="9"/>
        <v>0.0404040404</v>
      </c>
      <c r="K24" s="154">
        <f t="shared" si="10"/>
        <v>0.01363395291</v>
      </c>
      <c r="L24" s="156">
        <f t="shared" si="11"/>
        <v>10000</v>
      </c>
    </row>
    <row r="25" ht="14.25" customHeight="1">
      <c r="G25" s="160" t="s">
        <v>143</v>
      </c>
      <c r="H25" s="68"/>
      <c r="I25" s="161">
        <f t="shared" ref="I25:J25" si="12">SUM(I21:I24)</f>
        <v>930600</v>
      </c>
      <c r="J25" s="162">
        <f t="shared" si="12"/>
        <v>1</v>
      </c>
      <c r="K25" s="162">
        <f t="shared" si="10"/>
        <v>0.3374403344</v>
      </c>
      <c r="L25" s="163">
        <f>SUM(L21:L24)</f>
        <v>247500</v>
      </c>
    </row>
    <row r="26" ht="14.25" customHeight="1"/>
    <row r="27" ht="14.25" customHeight="1"/>
    <row r="28" ht="14.25" customHeight="1">
      <c r="G28" s="160" t="s">
        <v>164</v>
      </c>
      <c r="H28" s="68"/>
      <c r="I28" s="161">
        <f>SUM(I14,I19,I25)</f>
        <v>2757820.88</v>
      </c>
      <c r="L28" s="163">
        <f>SUM(L14,L19,L25)</f>
        <v>733463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G10:G13"/>
    <mergeCell ref="G14:H14"/>
    <mergeCell ref="G16:G18"/>
    <mergeCell ref="G19:H19"/>
    <mergeCell ref="G21:G24"/>
    <mergeCell ref="G25:H25"/>
    <mergeCell ref="G28:H28"/>
  </mergeCells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8.63"/>
    <col customWidth="1" min="7" max="7" width="22.63"/>
    <col customWidth="1" min="8" max="8" width="14.25"/>
    <col customWidth="1" min="9" max="9" width="39.25"/>
    <col customWidth="1" min="10" max="10" width="14.25"/>
    <col customWidth="1" min="11" max="11" width="15.5"/>
    <col customWidth="1" min="12" max="12" width="13.88"/>
    <col customWidth="1" min="13" max="13" width="8.63"/>
    <col customWidth="1" min="14" max="14" width="11.13"/>
    <col customWidth="1" min="15" max="15" width="9.75"/>
    <col customWidth="1" min="16" max="16" width="13.25"/>
    <col customWidth="1" min="17" max="26" width="8.63"/>
  </cols>
  <sheetData>
    <row r="1" ht="14.25" customHeight="1"/>
    <row r="2" ht="14.25" customHeight="1"/>
    <row r="3" ht="14.25" customHeight="1"/>
    <row r="4" ht="14.25" customHeight="1">
      <c r="G4" s="143" t="s">
        <v>26</v>
      </c>
      <c r="H4" s="143" t="s">
        <v>28</v>
      </c>
      <c r="I4" s="143" t="s">
        <v>165</v>
      </c>
      <c r="J4" s="143" t="s">
        <v>156</v>
      </c>
      <c r="K4" s="143" t="s">
        <v>166</v>
      </c>
    </row>
    <row r="5" ht="14.25" hidden="1" customHeight="1">
      <c r="G5" s="145" t="s">
        <v>167</v>
      </c>
      <c r="H5" s="149" t="s">
        <v>53</v>
      </c>
      <c r="I5" s="149" t="str">
        <f>'Phase 1 - Aug - Sept (Launch)'!B18</f>
        <v>META</v>
      </c>
      <c r="J5" s="156">
        <f>'Phase 1 - Aug - Sept (Launch)'!Y18</f>
        <v>16000</v>
      </c>
      <c r="K5" s="153">
        <f t="shared" ref="K5:K57" si="1">J5*3.76</f>
        <v>60160</v>
      </c>
    </row>
    <row r="6" ht="14.25" hidden="1" customHeight="1">
      <c r="G6" s="145" t="s">
        <v>167</v>
      </c>
      <c r="H6" s="149" t="s">
        <v>53</v>
      </c>
      <c r="I6" s="149" t="str">
        <f>'Phase 1 - Aug - Sept (Launch)'!B19</f>
        <v>TikTok</v>
      </c>
      <c r="J6" s="156">
        <f>'Phase 1 - Aug - Sept (Launch)'!Y19</f>
        <v>18720</v>
      </c>
      <c r="K6" s="153">
        <f t="shared" si="1"/>
        <v>70387.2</v>
      </c>
    </row>
    <row r="7" ht="14.25" hidden="1" customHeight="1">
      <c r="G7" s="145" t="s">
        <v>167</v>
      </c>
      <c r="H7" s="149" t="s">
        <v>53</v>
      </c>
      <c r="I7" s="149" t="str">
        <f>'Phase 1 - Aug - Sept (Launch)'!B20</f>
        <v>Snapchat</v>
      </c>
      <c r="J7" s="156">
        <f>'Phase 1 - Aug - Sept (Launch)'!Y20</f>
        <v>17150</v>
      </c>
      <c r="K7" s="153">
        <f t="shared" si="1"/>
        <v>64484</v>
      </c>
    </row>
    <row r="8" ht="14.25" hidden="1" customHeight="1">
      <c r="G8" s="145" t="s">
        <v>167</v>
      </c>
      <c r="H8" s="149" t="s">
        <v>53</v>
      </c>
      <c r="I8" s="149" t="str">
        <f>'Phase 1 - Aug - Sept (Launch)'!B21</f>
        <v>Snapchat First Commercial Takeover</v>
      </c>
      <c r="J8" s="156">
        <f>'Phase 1 - Aug - Sept (Launch)'!Y21</f>
        <v>17000</v>
      </c>
      <c r="K8" s="153">
        <f t="shared" si="1"/>
        <v>63920</v>
      </c>
    </row>
    <row r="9" ht="14.25" hidden="1" customHeight="1">
      <c r="G9" s="145" t="s">
        <v>167</v>
      </c>
      <c r="H9" s="149" t="s">
        <v>53</v>
      </c>
      <c r="I9" s="149" t="str">
        <f>'Phase 1 - Aug - Sept (Launch)'!B22</f>
        <v>X</v>
      </c>
      <c r="J9" s="156">
        <f>'Phase 1 - Aug - Sept (Launch)'!Y22</f>
        <v>15000</v>
      </c>
      <c r="K9" s="153">
        <f t="shared" si="1"/>
        <v>56400</v>
      </c>
    </row>
    <row r="10" ht="14.25" hidden="1" customHeight="1">
      <c r="G10" s="145" t="s">
        <v>167</v>
      </c>
      <c r="H10" s="149" t="s">
        <v>53</v>
      </c>
      <c r="I10" s="149" t="str">
        <f>'Phase 1 - Aug - Sept (Launch)'!B23</f>
        <v>X Takeover</v>
      </c>
      <c r="J10" s="156">
        <f>'Phase 1 - Aug - Sept (Launch)'!Y23</f>
        <v>58493</v>
      </c>
      <c r="K10" s="153">
        <f t="shared" si="1"/>
        <v>219933.68</v>
      </c>
    </row>
    <row r="11" ht="14.25" hidden="1" customHeight="1">
      <c r="G11" s="145" t="s">
        <v>167</v>
      </c>
      <c r="H11" s="149" t="s">
        <v>53</v>
      </c>
      <c r="I11" s="149" t="str">
        <f>'Phase 1 - Aug - Sept (Launch)'!B24</f>
        <v>YouTube</v>
      </c>
      <c r="J11" s="156">
        <f>'Phase 1 - Aug - Sept (Launch)'!Y24</f>
        <v>25000</v>
      </c>
      <c r="K11" s="153">
        <f t="shared" si="1"/>
        <v>94000</v>
      </c>
    </row>
    <row r="12" ht="14.25" hidden="1" customHeight="1">
      <c r="G12" s="145" t="s">
        <v>167</v>
      </c>
      <c r="H12" s="149" t="s">
        <v>53</v>
      </c>
      <c r="I12" s="149" t="str">
        <f>'Phase 1 - Aug - Sept (Launch)'!B25</f>
        <v>Programmatic</v>
      </c>
      <c r="J12" s="156">
        <f>'Phase 1 - Aug - Sept (Launch)'!Y25</f>
        <v>45000</v>
      </c>
      <c r="K12" s="153">
        <f t="shared" si="1"/>
        <v>169200</v>
      </c>
    </row>
    <row r="13" ht="14.25" hidden="1" customHeight="1">
      <c r="G13" s="145" t="s">
        <v>167</v>
      </c>
      <c r="H13" s="149" t="s">
        <v>53</v>
      </c>
      <c r="I13" s="149" t="str">
        <f>'Phase 1 - Aug - Sept (Launch)'!B26</f>
        <v>Google Search</v>
      </c>
      <c r="J13" s="156">
        <f>'Phase 1 - Aug - Sept (Launch)'!Y26</f>
        <v>7000</v>
      </c>
      <c r="K13" s="153">
        <f t="shared" si="1"/>
        <v>26320</v>
      </c>
    </row>
    <row r="14" ht="14.25" hidden="1" customHeight="1">
      <c r="G14" s="145" t="s">
        <v>167</v>
      </c>
      <c r="H14" s="149" t="s">
        <v>53</v>
      </c>
      <c r="I14" s="149" t="str">
        <f>'Phase 1 - Aug - Sept (Launch)'!B27</f>
        <v>Google Pmax</v>
      </c>
      <c r="J14" s="156">
        <f>'Phase 1 - Aug - Sept (Launch)'!Y27</f>
        <v>11000</v>
      </c>
      <c r="K14" s="153">
        <f t="shared" si="1"/>
        <v>41360</v>
      </c>
    </row>
    <row r="15" ht="14.25" hidden="1" customHeight="1">
      <c r="G15" s="145" t="s">
        <v>167</v>
      </c>
      <c r="H15" s="149" t="s">
        <v>53</v>
      </c>
      <c r="I15" s="149" t="str">
        <f>'Phase 1 - Aug - Sept (Launch)'!B28</f>
        <v>META</v>
      </c>
      <c r="J15" s="156">
        <f>'Phase 1 - Aug - Sept (Launch)'!Y28</f>
        <v>20000</v>
      </c>
      <c r="K15" s="153">
        <f t="shared" si="1"/>
        <v>75200</v>
      </c>
    </row>
    <row r="16" ht="14.25" hidden="1" customHeight="1">
      <c r="G16" s="145" t="s">
        <v>167</v>
      </c>
      <c r="H16" s="149" t="s">
        <v>53</v>
      </c>
      <c r="I16" s="149" t="str">
        <f>'Phase 1 - Aug - Sept (Launch)'!B29</f>
        <v>TikTok</v>
      </c>
      <c r="J16" s="156">
        <f>'Phase 1 - Aug - Sept (Launch)'!Y29</f>
        <v>20000</v>
      </c>
      <c r="K16" s="153">
        <f t="shared" si="1"/>
        <v>75200</v>
      </c>
    </row>
    <row r="17" ht="14.25" hidden="1" customHeight="1">
      <c r="G17" s="145" t="s">
        <v>167</v>
      </c>
      <c r="H17" s="149" t="s">
        <v>99</v>
      </c>
      <c r="I17" s="149" t="str">
        <f>'Phase 1 - Aug - Sept (Launch)'!B33</f>
        <v>META</v>
      </c>
      <c r="J17" s="156">
        <f>'Phase 1 - Aug - Sept (Launch)'!Y33</f>
        <v>15000</v>
      </c>
      <c r="K17" s="153">
        <f t="shared" si="1"/>
        <v>56400</v>
      </c>
    </row>
    <row r="18" ht="14.25" hidden="1" customHeight="1">
      <c r="G18" s="145" t="s">
        <v>167</v>
      </c>
      <c r="H18" s="149" t="s">
        <v>99</v>
      </c>
      <c r="I18" s="149" t="str">
        <f>'Phase 1 - Aug - Sept (Launch)'!B34</f>
        <v>YouTube</v>
      </c>
      <c r="J18" s="156">
        <f>'Phase 1 - Aug - Sept (Launch)'!Y34</f>
        <v>14000</v>
      </c>
      <c r="K18" s="153">
        <f t="shared" si="1"/>
        <v>52640</v>
      </c>
    </row>
    <row r="19" ht="14.25" hidden="1" customHeight="1">
      <c r="G19" s="145" t="s">
        <v>167</v>
      </c>
      <c r="H19" s="149" t="s">
        <v>99</v>
      </c>
      <c r="I19" s="149" t="str">
        <f>'Phase 1 - Aug - Sept (Launch)'!B35</f>
        <v>Programmatic</v>
      </c>
      <c r="J19" s="156">
        <f>'Phase 1 - Aug - Sept (Launch)'!Y35</f>
        <v>14000</v>
      </c>
      <c r="K19" s="153">
        <f t="shared" si="1"/>
        <v>52640</v>
      </c>
    </row>
    <row r="20" ht="14.25" hidden="1" customHeight="1">
      <c r="G20" s="145" t="s">
        <v>167</v>
      </c>
      <c r="H20" s="149" t="s">
        <v>99</v>
      </c>
      <c r="I20" s="149" t="str">
        <f>'Phase 1 - Aug - Sept (Launch)'!B36</f>
        <v>Google Pmax</v>
      </c>
      <c r="J20" s="156">
        <f>'Phase 1 - Aug - Sept (Launch)'!Y36</f>
        <v>12000</v>
      </c>
      <c r="K20" s="153">
        <f t="shared" si="1"/>
        <v>45120</v>
      </c>
    </row>
    <row r="21" ht="14.25" hidden="1" customHeight="1">
      <c r="G21" s="145" t="s">
        <v>167</v>
      </c>
      <c r="H21" s="149" t="s">
        <v>131</v>
      </c>
      <c r="I21" s="149" t="str">
        <f>'Phase 1 - Aug - Sept (Launch)'!B40</f>
        <v>META</v>
      </c>
      <c r="J21" s="156">
        <f>'Phase 1 - Aug - Sept (Launch)'!Y40</f>
        <v>5000</v>
      </c>
      <c r="K21" s="153">
        <f t="shared" si="1"/>
        <v>18800</v>
      </c>
    </row>
    <row r="22" ht="14.25" hidden="1" customHeight="1">
      <c r="G22" s="145" t="s">
        <v>167</v>
      </c>
      <c r="H22" s="149" t="s">
        <v>131</v>
      </c>
      <c r="I22" s="149" t="str">
        <f>'Phase 1 - Aug - Sept (Launch)'!B41</f>
        <v>YouTube</v>
      </c>
      <c r="J22" s="156">
        <f>'Phase 1 - Aug - Sept (Launch)'!Y41</f>
        <v>7000</v>
      </c>
      <c r="K22" s="153">
        <f t="shared" si="1"/>
        <v>26320</v>
      </c>
    </row>
    <row r="23" ht="14.25" hidden="1" customHeight="1">
      <c r="G23" s="145" t="s">
        <v>167</v>
      </c>
      <c r="H23" s="149" t="s">
        <v>131</v>
      </c>
      <c r="I23" s="149" t="str">
        <f>'Phase 1 - Aug - Sept (Launch)'!B42</f>
        <v>Google Pmax</v>
      </c>
      <c r="J23" s="156">
        <f>'Phase 1 - Aug - Sept (Launch)'!Y42</f>
        <v>5000</v>
      </c>
      <c r="K23" s="153">
        <f t="shared" si="1"/>
        <v>18800</v>
      </c>
    </row>
    <row r="24" ht="14.25" hidden="1" customHeight="1">
      <c r="G24" s="145" t="s">
        <v>167</v>
      </c>
      <c r="H24" s="149" t="s">
        <v>135</v>
      </c>
      <c r="I24" s="149" t="str">
        <f>'Phase 1 - Aug - Sept (Launch)'!B46</f>
        <v>META</v>
      </c>
      <c r="J24" s="156">
        <f>'Phase 1 - Aug - Sept (Launch)'!Y46</f>
        <v>5600</v>
      </c>
      <c r="K24" s="153">
        <f t="shared" si="1"/>
        <v>21056</v>
      </c>
    </row>
    <row r="25" ht="14.25" hidden="1" customHeight="1">
      <c r="G25" s="145" t="s">
        <v>167</v>
      </c>
      <c r="H25" s="149" t="s">
        <v>135</v>
      </c>
      <c r="I25" s="149" t="str">
        <f>'Phase 1 - Aug - Sept (Launch)'!B47</f>
        <v>YouTube</v>
      </c>
      <c r="J25" s="156">
        <f>'Phase 1 - Aug - Sept (Launch)'!Y47</f>
        <v>4000</v>
      </c>
      <c r="K25" s="153">
        <f t="shared" si="1"/>
        <v>15040</v>
      </c>
    </row>
    <row r="26" ht="14.25" hidden="1" customHeight="1">
      <c r="G26" s="145" t="s">
        <v>167</v>
      </c>
      <c r="H26" s="149" t="s">
        <v>135</v>
      </c>
      <c r="I26" s="149" t="str">
        <f>'Phase 1 - Aug - Sept (Launch)'!B48</f>
        <v>Google Pmax</v>
      </c>
      <c r="J26" s="156">
        <f>'Phase 1 - Aug - Sept (Launch)'!Y48</f>
        <v>6000</v>
      </c>
      <c r="K26" s="153">
        <f t="shared" si="1"/>
        <v>22560</v>
      </c>
    </row>
    <row r="27" ht="14.25" hidden="1" customHeight="1">
      <c r="G27" s="175" t="s">
        <v>140</v>
      </c>
      <c r="H27" s="176" t="s">
        <v>53</v>
      </c>
      <c r="I27" s="149" t="str">
        <f>'Song and Mascot Promotion'!B18</f>
        <v>Snapchat</v>
      </c>
      <c r="J27" s="156">
        <f>'Song and Mascot Promotion'!Z18</f>
        <v>35000</v>
      </c>
      <c r="K27" s="153">
        <f t="shared" si="1"/>
        <v>131600</v>
      </c>
    </row>
    <row r="28" ht="14.25" hidden="1" customHeight="1">
      <c r="G28" s="175" t="s">
        <v>140</v>
      </c>
      <c r="H28" s="176" t="s">
        <v>53</v>
      </c>
      <c r="I28" s="149" t="str">
        <f>'Song and Mascot Promotion'!B19</f>
        <v>YouTube</v>
      </c>
      <c r="J28" s="156">
        <f>'Song and Mascot Promotion'!Z19</f>
        <v>20000</v>
      </c>
      <c r="K28" s="153">
        <f t="shared" si="1"/>
        <v>75200</v>
      </c>
    </row>
    <row r="29" ht="14.25" hidden="1" customHeight="1">
      <c r="G29" s="175" t="s">
        <v>140</v>
      </c>
      <c r="H29" s="176" t="s">
        <v>53</v>
      </c>
      <c r="I29" s="149" t="str">
        <f>'Song and Mascot Promotion'!B20</f>
        <v>Programmatic (Anghami)</v>
      </c>
      <c r="J29" s="156">
        <f>'Song and Mascot Promotion'!Z20</f>
        <v>20000</v>
      </c>
      <c r="K29" s="153">
        <f t="shared" si="1"/>
        <v>75200</v>
      </c>
    </row>
    <row r="30" ht="14.25" customHeight="1">
      <c r="G30" s="175" t="s">
        <v>140</v>
      </c>
      <c r="H30" s="176" t="s">
        <v>53</v>
      </c>
      <c r="I30" s="149" t="str">
        <f>'Song and Mascot Promotion'!B21</f>
        <v>Programmatic (TMV)</v>
      </c>
      <c r="J30" s="156">
        <f>'Song and Mascot Promotion'!Z21</f>
        <v>10000</v>
      </c>
      <c r="K30" s="153">
        <f t="shared" si="1"/>
        <v>37600</v>
      </c>
    </row>
    <row r="31" ht="14.25" hidden="1" customHeight="1">
      <c r="G31" s="175" t="s">
        <v>140</v>
      </c>
      <c r="H31" s="176" t="s">
        <v>99</v>
      </c>
      <c r="I31" s="149" t="str">
        <f>'Song and Mascot Promotion'!B25</f>
        <v>Programmatic (Spotify) Song Promotion</v>
      </c>
      <c r="J31" s="156">
        <f>'Song and Mascot Promotion'!Z25</f>
        <v>13000</v>
      </c>
      <c r="K31" s="153">
        <f t="shared" si="1"/>
        <v>48880</v>
      </c>
    </row>
    <row r="32" ht="14.25" hidden="1" customHeight="1">
      <c r="G32" s="175" t="s">
        <v>140</v>
      </c>
      <c r="H32" s="176" t="s">
        <v>99</v>
      </c>
      <c r="I32" s="149" t="str">
        <f>'Song and Mascot Promotion'!B26</f>
        <v>Programmatic (Spotify) Mascot Promotion - Video</v>
      </c>
      <c r="J32" s="156">
        <f>'Song and Mascot Promotion'!Z26</f>
        <v>10000</v>
      </c>
      <c r="K32" s="153">
        <f t="shared" si="1"/>
        <v>37600</v>
      </c>
    </row>
    <row r="33" ht="14.25" hidden="1" customHeight="1">
      <c r="G33" s="175" t="s">
        <v>140</v>
      </c>
      <c r="H33" s="176" t="s">
        <v>99</v>
      </c>
      <c r="I33" s="149" t="str">
        <f>'Song and Mascot Promotion'!B27</f>
        <v>Programmatic (Spotify) Mascot Promotion - Display</v>
      </c>
      <c r="J33" s="156">
        <f>'Song and Mascot Promotion'!Z27</f>
        <v>9000</v>
      </c>
      <c r="K33" s="153">
        <f t="shared" si="1"/>
        <v>33840</v>
      </c>
    </row>
    <row r="34" ht="14.25" customHeight="1">
      <c r="G34" s="175" t="s">
        <v>140</v>
      </c>
      <c r="H34" s="176" t="s">
        <v>99</v>
      </c>
      <c r="I34" s="149" t="str">
        <f>'Song and Mascot Promotion'!B28</f>
        <v>Programmatic (TMV)</v>
      </c>
      <c r="J34" s="156">
        <f>'Song and Mascot Promotion'!Z28</f>
        <v>7000</v>
      </c>
      <c r="K34" s="153">
        <f t="shared" si="1"/>
        <v>26320</v>
      </c>
    </row>
    <row r="35" ht="14.25" customHeight="1">
      <c r="G35" s="175" t="s">
        <v>140</v>
      </c>
      <c r="H35" s="176" t="s">
        <v>131</v>
      </c>
      <c r="I35" s="149" t="str">
        <f>'Song and Mascot Promotion'!B32</f>
        <v>Programmatic (TMV)</v>
      </c>
      <c r="J35" s="156">
        <f>'Song and Mascot Promotion'!Z32</f>
        <v>4000</v>
      </c>
      <c r="K35" s="153">
        <f t="shared" si="1"/>
        <v>15040</v>
      </c>
    </row>
    <row r="36" ht="14.25" hidden="1" customHeight="1">
      <c r="G36" s="145" t="s">
        <v>143</v>
      </c>
      <c r="H36" s="149" t="s">
        <v>53</v>
      </c>
      <c r="I36" s="149" t="str">
        <f>'Phase 2 - Sep - Oct'!B18</f>
        <v>META</v>
      </c>
      <c r="J36" s="156">
        <f>'Phase 2 - Sep - Oct'!Y18</f>
        <v>18000</v>
      </c>
      <c r="K36" s="153">
        <f t="shared" si="1"/>
        <v>67680</v>
      </c>
    </row>
    <row r="37" ht="14.25" hidden="1" customHeight="1">
      <c r="G37" s="145" t="s">
        <v>143</v>
      </c>
      <c r="H37" s="149" t="s">
        <v>53</v>
      </c>
      <c r="I37" s="149" t="str">
        <f>'Phase 2 - Sep - Oct'!B19</f>
        <v>TikTok</v>
      </c>
      <c r="J37" s="156">
        <f>'Phase 2 - Sep - Oct'!Y19</f>
        <v>18000</v>
      </c>
      <c r="K37" s="153">
        <f t="shared" si="1"/>
        <v>67680</v>
      </c>
    </row>
    <row r="38" ht="14.25" hidden="1" customHeight="1">
      <c r="G38" s="145" t="s">
        <v>143</v>
      </c>
      <c r="H38" s="149" t="s">
        <v>53</v>
      </c>
      <c r="I38" s="149" t="str">
        <f>'Phase 2 - Sep - Oct'!B20</f>
        <v>Snapchat</v>
      </c>
      <c r="J38" s="156">
        <f>'Phase 2 - Sep - Oct'!Y20</f>
        <v>18000</v>
      </c>
      <c r="K38" s="153">
        <f t="shared" si="1"/>
        <v>67680</v>
      </c>
    </row>
    <row r="39" ht="14.25" hidden="1" customHeight="1">
      <c r="G39" s="145" t="s">
        <v>143</v>
      </c>
      <c r="H39" s="149" t="s">
        <v>53</v>
      </c>
      <c r="I39" s="149" t="str">
        <f>'Phase 2 - Sep - Oct'!B21</f>
        <v>YouTube</v>
      </c>
      <c r="J39" s="156">
        <f>'Phase 2 - Sep - Oct'!Y21</f>
        <v>18000</v>
      </c>
      <c r="K39" s="153">
        <f t="shared" si="1"/>
        <v>67680</v>
      </c>
    </row>
    <row r="40" ht="14.25" hidden="1" customHeight="1">
      <c r="G40" s="145" t="s">
        <v>143</v>
      </c>
      <c r="H40" s="149" t="s">
        <v>53</v>
      </c>
      <c r="I40" s="149" t="str">
        <f>'Phase 2 - Sep - Oct'!B22</f>
        <v>Programmatic</v>
      </c>
      <c r="J40" s="156">
        <f>'Phase 2 - Sep - Oct'!Y22</f>
        <v>40000</v>
      </c>
      <c r="K40" s="153">
        <f t="shared" si="1"/>
        <v>150400</v>
      </c>
    </row>
    <row r="41" ht="14.25" hidden="1" customHeight="1">
      <c r="G41" s="145" t="s">
        <v>143</v>
      </c>
      <c r="H41" s="149" t="s">
        <v>53</v>
      </c>
      <c r="I41" s="149" t="str">
        <f>'Phase 2 - Sep - Oct'!B23</f>
        <v>X</v>
      </c>
      <c r="J41" s="156">
        <f>'Phase 2 - Sep - Oct'!Y23</f>
        <v>16000</v>
      </c>
      <c r="K41" s="153">
        <f t="shared" si="1"/>
        <v>60160</v>
      </c>
    </row>
    <row r="42" ht="14.25" customHeight="1">
      <c r="G42" s="145" t="s">
        <v>143</v>
      </c>
      <c r="H42" s="149" t="s">
        <v>53</v>
      </c>
      <c r="I42" s="149" t="str">
        <f>'Phase 2 - Sep - Oct'!B24</f>
        <v>Programmatic (Videx Gaming)</v>
      </c>
      <c r="J42" s="156">
        <f>'Phase 2 - Sep - Oct'!Y24</f>
        <v>14000</v>
      </c>
      <c r="K42" s="153">
        <f t="shared" si="1"/>
        <v>52640</v>
      </c>
    </row>
    <row r="43" ht="14.25" hidden="1" customHeight="1">
      <c r="G43" s="145" t="s">
        <v>143</v>
      </c>
      <c r="H43" s="149" t="s">
        <v>53</v>
      </c>
      <c r="I43" s="149" t="str">
        <f>'Phase 2 - Sep - Oct'!B25</f>
        <v>Google</v>
      </c>
      <c r="J43" s="156">
        <f>'Phase 2 - Sep - Oct'!Y25</f>
        <v>12000</v>
      </c>
      <c r="K43" s="153">
        <f t="shared" si="1"/>
        <v>45120</v>
      </c>
    </row>
    <row r="44" ht="14.25" hidden="1" customHeight="1">
      <c r="G44" s="145" t="s">
        <v>143</v>
      </c>
      <c r="H44" s="149" t="s">
        <v>53</v>
      </c>
      <c r="I44" s="149" t="str">
        <f>'Phase 2 - Sep - Oct'!B26</f>
        <v>Google </v>
      </c>
      <c r="J44" s="156">
        <f>'Phase 2 - Sep - Oct'!Y26</f>
        <v>12000</v>
      </c>
      <c r="K44" s="153">
        <f t="shared" si="1"/>
        <v>45120</v>
      </c>
    </row>
    <row r="45" ht="14.25" hidden="1" customHeight="1">
      <c r="G45" s="145" t="s">
        <v>143</v>
      </c>
      <c r="H45" s="149" t="s">
        <v>53</v>
      </c>
      <c r="I45" s="149" t="str">
        <f>'Phase 2 - Sep - Oct'!B27</f>
        <v>META</v>
      </c>
      <c r="J45" s="156">
        <f>'Phase 2 - Sep - Oct'!Y27</f>
        <v>13000</v>
      </c>
      <c r="K45" s="153">
        <f t="shared" si="1"/>
        <v>48880</v>
      </c>
    </row>
    <row r="46" ht="14.25" hidden="1" customHeight="1">
      <c r="G46" s="145" t="s">
        <v>143</v>
      </c>
      <c r="H46" s="149" t="s">
        <v>53</v>
      </c>
      <c r="I46" s="149" t="str">
        <f>'Phase 2 - Sep - Oct'!B28</f>
        <v>TikTok</v>
      </c>
      <c r="J46" s="156">
        <f>'Phase 2 - Sep - Oct'!Y28</f>
        <v>13000</v>
      </c>
      <c r="K46" s="153">
        <f t="shared" si="1"/>
        <v>48880</v>
      </c>
    </row>
    <row r="47" ht="14.25" hidden="1" customHeight="1">
      <c r="G47" s="145" t="s">
        <v>143</v>
      </c>
      <c r="H47" s="149" t="s">
        <v>99</v>
      </c>
      <c r="I47" s="149" t="str">
        <f>'Phase 2 - Sep - Oct'!B32</f>
        <v>META</v>
      </c>
      <c r="J47" s="156">
        <f>'Phase 2 - Sep - Oct'!Y32</f>
        <v>6000</v>
      </c>
      <c r="K47" s="153">
        <f t="shared" si="1"/>
        <v>22560</v>
      </c>
    </row>
    <row r="48" ht="14.25" hidden="1" customHeight="1">
      <c r="G48" s="145" t="s">
        <v>143</v>
      </c>
      <c r="H48" s="149" t="s">
        <v>99</v>
      </c>
      <c r="I48" s="149" t="str">
        <f>'Phase 2 - Sep - Oct'!B33</f>
        <v>YouTube</v>
      </c>
      <c r="J48" s="156">
        <f>'Phase 2 - Sep - Oct'!Y33</f>
        <v>8000</v>
      </c>
      <c r="K48" s="153">
        <f t="shared" si="1"/>
        <v>30080</v>
      </c>
    </row>
    <row r="49" ht="14.25" customHeight="1">
      <c r="G49" s="145" t="s">
        <v>143</v>
      </c>
      <c r="H49" s="149" t="s">
        <v>99</v>
      </c>
      <c r="I49" s="149" t="str">
        <f>'Phase 2 - Sep - Oct'!B34</f>
        <v>Programmatic (Videx Gaming)</v>
      </c>
      <c r="J49" s="156">
        <f>'Phase 2 - Sep - Oct'!Y34</f>
        <v>7000</v>
      </c>
      <c r="K49" s="153">
        <f t="shared" si="1"/>
        <v>26320</v>
      </c>
    </row>
    <row r="50" ht="14.25" hidden="1" customHeight="1">
      <c r="G50" s="145" t="s">
        <v>143</v>
      </c>
      <c r="H50" s="149" t="s">
        <v>99</v>
      </c>
      <c r="I50" s="149" t="str">
        <f>'Phase 2 - Sep - Oct'!B35</f>
        <v>Google </v>
      </c>
      <c r="J50" s="156">
        <f>'Phase 2 - Sep - Oct'!Y35</f>
        <v>7000</v>
      </c>
      <c r="K50" s="153">
        <f t="shared" si="1"/>
        <v>26320</v>
      </c>
    </row>
    <row r="51" ht="14.25" hidden="1" customHeight="1">
      <c r="G51" s="145" t="s">
        <v>143</v>
      </c>
      <c r="H51" s="149" t="s">
        <v>131</v>
      </c>
      <c r="I51" s="149" t="str">
        <f>'Phase 2 - Sep - Oct'!B39</f>
        <v>META</v>
      </c>
      <c r="J51" s="156">
        <f>'Phase 2 - Sep - Oct'!Y39</f>
        <v>5000</v>
      </c>
      <c r="K51" s="153">
        <f t="shared" si="1"/>
        <v>18800</v>
      </c>
    </row>
    <row r="52" ht="14.25" hidden="1" customHeight="1">
      <c r="G52" s="145" t="s">
        <v>143</v>
      </c>
      <c r="H52" s="149" t="s">
        <v>131</v>
      </c>
      <c r="I52" s="149" t="str">
        <f>'Phase 2 - Sep - Oct'!B40</f>
        <v>YouTube</v>
      </c>
      <c r="J52" s="156">
        <f>'Phase 2 - Sep - Oct'!Y40</f>
        <v>4000</v>
      </c>
      <c r="K52" s="153">
        <f t="shared" si="1"/>
        <v>15040</v>
      </c>
    </row>
    <row r="53" ht="14.25" customHeight="1">
      <c r="G53" s="145" t="s">
        <v>143</v>
      </c>
      <c r="H53" s="149" t="s">
        <v>131</v>
      </c>
      <c r="I53" s="149" t="str">
        <f>'Phase 2 - Sep - Oct'!B41</f>
        <v>Programmatic (Videx Gaming)</v>
      </c>
      <c r="J53" s="156">
        <f>'Phase 2 - Sep - Oct'!Y41</f>
        <v>5000</v>
      </c>
      <c r="K53" s="153">
        <f t="shared" si="1"/>
        <v>18800</v>
      </c>
    </row>
    <row r="54" ht="14.25" hidden="1" customHeight="1">
      <c r="G54" s="145" t="s">
        <v>143</v>
      </c>
      <c r="H54" s="149" t="s">
        <v>131</v>
      </c>
      <c r="I54" s="149" t="str">
        <f>'Phase 2 - Sep - Oct'!B42</f>
        <v>Google </v>
      </c>
      <c r="J54" s="156">
        <f>'Phase 2 - Sep - Oct'!Y42</f>
        <v>3500</v>
      </c>
      <c r="K54" s="153">
        <f t="shared" si="1"/>
        <v>13160</v>
      </c>
    </row>
    <row r="55" ht="14.25" hidden="1" customHeight="1">
      <c r="G55" s="145" t="s">
        <v>143</v>
      </c>
      <c r="H55" s="149" t="s">
        <v>135</v>
      </c>
      <c r="I55" s="149" t="str">
        <f>'Phase 2 - Sep - Oct'!B46</f>
        <v>META</v>
      </c>
      <c r="J55" s="156">
        <f>'Phase 2 - Sep - Oct'!Y46</f>
        <v>3000</v>
      </c>
      <c r="K55" s="153">
        <f t="shared" si="1"/>
        <v>11280</v>
      </c>
    </row>
    <row r="56" ht="14.25" hidden="1" customHeight="1">
      <c r="G56" s="145" t="s">
        <v>143</v>
      </c>
      <c r="H56" s="149" t="s">
        <v>135</v>
      </c>
      <c r="I56" s="149" t="str">
        <f>'Phase 2 - Sep - Oct'!B47</f>
        <v>YouTube</v>
      </c>
      <c r="J56" s="156">
        <f>'Phase 2 - Sep - Oct'!Y47</f>
        <v>3000</v>
      </c>
      <c r="K56" s="153">
        <f t="shared" si="1"/>
        <v>11280</v>
      </c>
    </row>
    <row r="57" ht="14.25" hidden="1" customHeight="1">
      <c r="G57" s="175" t="s">
        <v>143</v>
      </c>
      <c r="H57" s="149" t="s">
        <v>135</v>
      </c>
      <c r="I57" s="149" t="str">
        <f>'Phase 2 - Sep - Oct'!B48</f>
        <v>Google </v>
      </c>
      <c r="J57" s="156">
        <f>'Phase 2 - Sep - Oct'!Y48</f>
        <v>4000</v>
      </c>
      <c r="K57" s="153">
        <f t="shared" si="1"/>
        <v>15040</v>
      </c>
    </row>
    <row r="58" ht="14.25" customHeight="1"/>
    <row r="59" ht="14.25" customHeight="1">
      <c r="G59" s="160" t="s">
        <v>164</v>
      </c>
      <c r="H59" s="68"/>
      <c r="I59" s="177"/>
      <c r="J59" s="178">
        <f t="shared" ref="J59:K59" si="2">SUM(J5:J57)</f>
        <v>733463</v>
      </c>
      <c r="K59" s="161">
        <f t="shared" si="2"/>
        <v>2757820.88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>
      <c r="L67" s="179">
        <v>2.8285714285714287E7</v>
      </c>
      <c r="M67" s="180">
        <v>3.0</v>
      </c>
      <c r="N67" s="180">
        <f>M67*L67/1000</f>
        <v>84857.14286</v>
      </c>
      <c r="O67" s="171">
        <v>99000.0</v>
      </c>
      <c r="P67" s="180">
        <f>O67-N67</f>
        <v>14142.85714</v>
      </c>
    </row>
    <row r="68" ht="14.25" customHeight="1"/>
    <row r="69" ht="14.25" customHeight="1"/>
    <row r="70" ht="14.25" customHeight="1">
      <c r="L70" s="179">
        <v>6.916666666666667E7</v>
      </c>
      <c r="M70" s="171">
        <v>1.1</v>
      </c>
      <c r="N70" s="180">
        <f>M70*L70/1000</f>
        <v>76083.33333</v>
      </c>
      <c r="O70" s="171">
        <v>83000.0</v>
      </c>
      <c r="P70" s="180">
        <f>O70-N70</f>
        <v>6916.666667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G$4:$K$57">
    <filterColumn colId="2">
      <filters>
        <filter val="Programmatic (Videx Gaming)"/>
        <filter val="Programmatic (TMV)"/>
      </filters>
    </filterColumn>
  </autoFilter>
  <mergeCells count="1">
    <mergeCell ref="G59:H59"/>
  </mergeCells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8.63"/>
    <col customWidth="1" min="5" max="5" width="26.75"/>
    <col customWidth="1" min="6" max="6" width="16.13"/>
    <col customWidth="1" min="7" max="7" width="18.88"/>
    <col customWidth="1" min="8" max="13" width="8.63"/>
    <col customWidth="1" min="14" max="14" width="12.5"/>
    <col customWidth="1" min="15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E8" s="170"/>
    </row>
    <row r="9" ht="14.25" customHeight="1">
      <c r="E9" s="170"/>
    </row>
    <row r="10" ht="14.25" customHeight="1"/>
    <row r="11" ht="14.25" customHeight="1"/>
    <row r="12" ht="14.25" customHeight="1"/>
    <row r="13" ht="14.25" customHeight="1">
      <c r="E13" s="172"/>
    </row>
    <row r="14" ht="14.25" customHeight="1">
      <c r="E14" s="172"/>
    </row>
    <row r="15" ht="14.25" customHeight="1">
      <c r="E15" s="172"/>
    </row>
    <row r="16" ht="14.25" customHeight="1">
      <c r="E16" s="172"/>
    </row>
    <row r="17" ht="14.25" customHeight="1">
      <c r="E17" s="172"/>
    </row>
    <row r="18" ht="14.25" customHeight="1">
      <c r="E18" s="172"/>
    </row>
    <row r="19" ht="14.25" customHeight="1">
      <c r="E19" s="172"/>
    </row>
    <row r="20" ht="14.25" customHeight="1">
      <c r="E20" s="172"/>
    </row>
    <row r="21" ht="14.25" customHeight="1">
      <c r="E21" s="172"/>
    </row>
    <row r="22" ht="14.25" customHeight="1">
      <c r="E22" s="172"/>
    </row>
    <row r="23" ht="14.25" customHeight="1">
      <c r="E23" s="172"/>
    </row>
    <row r="24" ht="14.25" customHeight="1">
      <c r="E24" s="172"/>
      <c r="L24" s="171" t="s">
        <v>170</v>
      </c>
      <c r="M24" s="171" t="s">
        <v>168</v>
      </c>
      <c r="N24" s="171" t="s">
        <v>169</v>
      </c>
    </row>
    <row r="25" ht="14.25" customHeight="1">
      <c r="E25" s="172"/>
      <c r="L25" s="171" t="s">
        <v>171</v>
      </c>
      <c r="M25" s="171">
        <v>24000.0</v>
      </c>
      <c r="N25" s="173">
        <v>90240.0</v>
      </c>
      <c r="O25" s="174">
        <f t="shared" ref="O25:O30" si="1">N25/$N$31</f>
        <v>0.03168316832</v>
      </c>
    </row>
    <row r="26" ht="14.25" customHeight="1">
      <c r="L26" s="171" t="s">
        <v>172</v>
      </c>
      <c r="M26" s="171">
        <v>117000.0</v>
      </c>
      <c r="N26" s="173">
        <v>439920.0</v>
      </c>
      <c r="O26" s="174">
        <f t="shared" si="1"/>
        <v>0.1544554455</v>
      </c>
    </row>
    <row r="27" ht="14.25" customHeight="1">
      <c r="L27" s="171" t="s">
        <v>173</v>
      </c>
      <c r="M27" s="171">
        <v>60000.0</v>
      </c>
      <c r="N27" s="173">
        <v>225600.0</v>
      </c>
      <c r="O27" s="174">
        <f t="shared" si="1"/>
        <v>0.07920792079</v>
      </c>
    </row>
    <row r="28" ht="14.25" customHeight="1">
      <c r="L28" s="171" t="s">
        <v>174</v>
      </c>
      <c r="M28" s="171">
        <v>85000.0</v>
      </c>
      <c r="N28" s="173">
        <v>319600.0</v>
      </c>
      <c r="O28" s="174">
        <f t="shared" si="1"/>
        <v>0.1122112211</v>
      </c>
    </row>
    <row r="29" ht="14.25" customHeight="1">
      <c r="L29" s="171" t="s">
        <v>175</v>
      </c>
      <c r="M29" s="171">
        <v>240000.0</v>
      </c>
      <c r="N29" s="173">
        <v>902400.0</v>
      </c>
      <c r="O29" s="174">
        <f t="shared" si="1"/>
        <v>0.3168316832</v>
      </c>
    </row>
    <row r="30" ht="14.25" customHeight="1">
      <c r="L30" s="171" t="s">
        <v>176</v>
      </c>
      <c r="M30" s="171">
        <v>231500.0</v>
      </c>
      <c r="N30" s="173">
        <v>870440.0</v>
      </c>
      <c r="O30" s="174">
        <f t="shared" si="1"/>
        <v>0.3056105611</v>
      </c>
    </row>
    <row r="31" ht="14.25" customHeight="1">
      <c r="L31" s="171" t="s">
        <v>164</v>
      </c>
      <c r="M31" s="171">
        <v>757500.0</v>
      </c>
      <c r="N31" s="173">
        <v>2848200.0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&amp;C_x000D_#000000 Confidential - Not for Public Consumption or Distribution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2026-04-08T10:31:47Z</dcterms:created>
  <dc:creator>Karan Aylawadi (Omnicom)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2026-07-27T10:52:55Z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802f9e79-c993-44fa-b434-a532223cac44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